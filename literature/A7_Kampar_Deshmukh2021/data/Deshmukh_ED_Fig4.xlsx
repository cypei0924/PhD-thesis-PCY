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eraprfs10\02f_green_house_gas\1. Eddy Covariance Data\1. Data\GHG Paper\2nd_paper_review\Manuscript_20200528_Submitted\Dataset_20210528\"/>
    </mc:Choice>
  </mc:AlternateContent>
  <bookViews>
    <workbookView xWindow="0" yWindow="0" windowWidth="28800" windowHeight="14100" activeTab="1"/>
  </bookViews>
  <sheets>
    <sheet name="N2O_IP" sheetId="1" r:id="rId1"/>
    <sheet name="N2O_D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8" i="2" l="1"/>
  <c r="U22" i="1"/>
  <c r="C20" i="1"/>
  <c r="D26" i="2"/>
  <c r="U23" i="1" l="1"/>
  <c r="U20" i="1"/>
  <c r="T20" i="1"/>
  <c r="S20" i="1"/>
  <c r="R20" i="1"/>
  <c r="Q20" i="1"/>
  <c r="P20" i="1"/>
  <c r="O20" i="1"/>
  <c r="M20" i="1"/>
  <c r="J20" i="1"/>
  <c r="H20" i="1"/>
  <c r="E20" i="1"/>
  <c r="T29" i="2"/>
  <c r="T26" i="2"/>
  <c r="R26" i="2"/>
  <c r="P26" i="2"/>
  <c r="N26" i="2"/>
  <c r="K26" i="2"/>
  <c r="I26" i="2"/>
  <c r="E26" i="2"/>
</calcChain>
</file>

<file path=xl/sharedStrings.xml><?xml version="1.0" encoding="utf-8"?>
<sst xmlns="http://schemas.openxmlformats.org/spreadsheetml/2006/main" count="48" uniqueCount="23">
  <si>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</si>
  <si>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</si>
  <si>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</si>
  <si>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</si>
  <si>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</si>
  <si>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</si>
  <si>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</si>
  <si>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</si>
  <si>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</si>
  <si>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</si>
  <si>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</si>
  <si>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</si>
  <si>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</si>
  <si>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</si>
  <si>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</si>
  <si>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</si>
  <si>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</si>
  <si>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</si>
  <si>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</si>
  <si>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Unit</t>
  </si>
  <si>
    <r>
      <t>mgN2O m</t>
    </r>
    <r>
      <rPr>
        <b/>
        <vertAlign val="superscript"/>
        <sz val="9"/>
        <color theme="1"/>
        <rFont val="Arial"/>
        <family val="2"/>
      </rPr>
      <t>-2</t>
    </r>
    <r>
      <rPr>
        <b/>
        <sz val="9"/>
        <color theme="1"/>
        <rFont val="Arial"/>
        <family val="2"/>
      </rPr>
      <t xml:space="preserve"> d</t>
    </r>
    <r>
      <rPr>
        <b/>
        <vertAlign val="superscript"/>
        <sz val="9"/>
        <color theme="1"/>
        <rFont val="Arial"/>
        <family val="2"/>
      </rPr>
      <t>-1</t>
    </r>
  </si>
  <si>
    <t>Average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</si>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</sst>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0" applyFont="1"/>
    <xf numFmtId="2" fontId="1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workbookViewId="0">
      <selection activeCell="U23" sqref="U23"/>
    </sheetView>
  </sheetViews>
  <sheetFormatPr defaultRowHeight="14.4" x14ac:dyDescent="0.3"/>
  <cols>
    <col min="22" max="22" width="12" bestFit="1" customWidth="1"/>
  </cols>
  <sheetData>
    <row r="1" spans="3:21" s="5" customFormat="1" x14ac:dyDescent="0.3"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</row>
    <row r="2" spans="3:21" x14ac:dyDescent="0.3">
      <c r="C2" s="1">
        <v>0.56220000000000003</v>
      </c>
      <c r="D2" s="1"/>
      <c r="E2" s="1">
        <v>0.40200000000000002</v>
      </c>
      <c r="F2" s="1"/>
      <c r="G2" s="1"/>
      <c r="H2" s="1">
        <v>-0.58009999999999995</v>
      </c>
      <c r="I2" s="1"/>
      <c r="J2" s="1">
        <v>0.79490000000000005</v>
      </c>
      <c r="K2" s="1"/>
      <c r="L2" s="1"/>
      <c r="M2" s="1">
        <v>-0.95530000000000004</v>
      </c>
      <c r="N2" s="1"/>
      <c r="O2" s="1"/>
      <c r="P2" s="1"/>
      <c r="Q2" s="1">
        <v>0.82220000000000004</v>
      </c>
      <c r="R2" s="1"/>
      <c r="S2" s="1">
        <v>0.52559999999999996</v>
      </c>
      <c r="T2" s="1"/>
      <c r="U2" s="1">
        <v>1.0209999999999999</v>
      </c>
    </row>
    <row r="3" spans="3:21" x14ac:dyDescent="0.3">
      <c r="C3" s="1">
        <v>7.5499999999999998E-2</v>
      </c>
      <c r="D3" s="1"/>
      <c r="E3" s="1">
        <v>0.25</v>
      </c>
      <c r="F3" s="1"/>
      <c r="G3" s="1"/>
      <c r="H3" s="1">
        <v>-0.1545</v>
      </c>
      <c r="I3" s="1"/>
      <c r="J3" s="1"/>
      <c r="K3" s="1"/>
      <c r="L3" s="1"/>
      <c r="M3" s="1">
        <v>-2.9399999999999999E-2</v>
      </c>
      <c r="N3" s="1"/>
      <c r="O3" s="1">
        <v>-4.1999999999999997E-3</v>
      </c>
      <c r="P3" s="1">
        <v>-6.7999999999999996E-3</v>
      </c>
      <c r="Q3" s="1">
        <v>0.1762</v>
      </c>
      <c r="R3" s="1">
        <v>0.37240000000000001</v>
      </c>
      <c r="S3" s="1">
        <v>8.8000000000000005E-3</v>
      </c>
      <c r="T3" s="1">
        <v>7.6200000000000004E-2</v>
      </c>
      <c r="U3" s="1">
        <v>0.22739999999999999</v>
      </c>
    </row>
    <row r="4" spans="3:21" x14ac:dyDescent="0.3">
      <c r="C4" s="1">
        <v>2.87E-2</v>
      </c>
      <c r="D4" s="1"/>
      <c r="E4" s="1">
        <v>-0.1042</v>
      </c>
      <c r="F4" s="1"/>
      <c r="G4" s="1"/>
      <c r="H4" s="1">
        <v>-0.23880000000000001</v>
      </c>
      <c r="I4" s="1"/>
      <c r="J4" s="1">
        <v>0.14929999999999999</v>
      </c>
      <c r="K4" s="1"/>
      <c r="L4" s="1"/>
      <c r="M4" s="1">
        <v>-0.34</v>
      </c>
      <c r="N4" s="1"/>
      <c r="O4" s="1">
        <v>-0.1036</v>
      </c>
      <c r="P4" s="1">
        <v>9.8000000000000004E-2</v>
      </c>
      <c r="Q4" s="1">
        <v>0.1358</v>
      </c>
      <c r="R4" s="1">
        <v>0.1671</v>
      </c>
      <c r="S4" s="1">
        <v>0.10680000000000001</v>
      </c>
      <c r="T4" s="1">
        <v>0.18060000000000001</v>
      </c>
      <c r="U4" s="1">
        <v>0.26840000000000003</v>
      </c>
    </row>
    <row r="5" spans="3:21" x14ac:dyDescent="0.3">
      <c r="C5" s="1">
        <v>-0.36070000000000002</v>
      </c>
      <c r="D5" s="1"/>
      <c r="E5" s="1">
        <v>-8.8999999999999996E-2</v>
      </c>
      <c r="F5" s="1"/>
      <c r="G5" s="1"/>
      <c r="H5" s="1">
        <v>0.43190000000000001</v>
      </c>
      <c r="I5" s="1"/>
      <c r="J5" s="1">
        <v>3.6900000000000002E-2</v>
      </c>
      <c r="K5" s="1"/>
      <c r="L5" s="1"/>
      <c r="M5" s="1">
        <v>7.0099999999999996E-2</v>
      </c>
      <c r="N5" s="1"/>
      <c r="O5" s="1">
        <v>-0.23019999999999999</v>
      </c>
      <c r="P5" s="1">
        <v>7.8100000000000003E-2</v>
      </c>
      <c r="Q5" s="1">
        <v>5.3400000000000003E-2</v>
      </c>
      <c r="R5" s="1">
        <v>0.1736</v>
      </c>
      <c r="S5" s="1">
        <v>6.93E-2</v>
      </c>
      <c r="T5" s="1">
        <v>6.4100000000000004E-2</v>
      </c>
      <c r="U5" s="1"/>
    </row>
    <row r="6" spans="3:21" x14ac:dyDescent="0.3">
      <c r="C6" s="1">
        <v>-1.83E-2</v>
      </c>
      <c r="D6" s="1"/>
      <c r="E6" s="1">
        <v>9.3799999999999994E-2</v>
      </c>
      <c r="F6" s="1"/>
      <c r="G6" s="1"/>
      <c r="H6" s="1">
        <v>0.54310000000000003</v>
      </c>
      <c r="I6" s="1"/>
      <c r="J6" s="1">
        <v>9.01E-2</v>
      </c>
      <c r="K6" s="1"/>
      <c r="L6" s="1"/>
      <c r="M6" s="1">
        <v>0.12590000000000001</v>
      </c>
      <c r="N6" s="1"/>
      <c r="O6" s="1">
        <v>0.1217</v>
      </c>
      <c r="P6" s="1">
        <v>5.3600000000000002E-2</v>
      </c>
      <c r="Q6" s="1">
        <v>4.9299999999999997E-2</v>
      </c>
      <c r="R6" s="1">
        <v>7.5300000000000006E-2</v>
      </c>
      <c r="S6" s="1">
        <v>2.8899999999999999E-2</v>
      </c>
      <c r="T6" s="1">
        <v>0.30330000000000001</v>
      </c>
      <c r="U6" s="1">
        <v>5.5599999999999997E-2</v>
      </c>
    </row>
    <row r="7" spans="3:21" x14ac:dyDescent="0.3">
      <c r="C7" s="1">
        <v>1.0741000000000001</v>
      </c>
      <c r="D7" s="1"/>
      <c r="E7" s="1">
        <v>0.26600000000000001</v>
      </c>
      <c r="F7" s="1"/>
      <c r="G7" s="1"/>
      <c r="H7" s="1">
        <v>1.5599999999999999E-2</v>
      </c>
      <c r="I7" s="1"/>
      <c r="J7" s="1">
        <v>-0.1537</v>
      </c>
      <c r="K7" s="1"/>
      <c r="L7" s="1"/>
      <c r="M7" s="1">
        <v>0.32</v>
      </c>
      <c r="N7" s="1"/>
      <c r="O7" s="1">
        <v>0.22359999999999999</v>
      </c>
      <c r="P7" s="1">
        <v>0.11360000000000001</v>
      </c>
      <c r="Q7" s="1">
        <v>0.10639999999999999</v>
      </c>
      <c r="R7" s="1">
        <v>0.188</v>
      </c>
      <c r="S7" s="1">
        <v>0.14599999999999999</v>
      </c>
      <c r="T7" s="1">
        <v>0.78580000000000005</v>
      </c>
      <c r="U7" s="1">
        <v>0.56559999999999999</v>
      </c>
    </row>
    <row r="8" spans="3:21" x14ac:dyDescent="0.3">
      <c r="C8" s="1">
        <v>0.23449999999999999</v>
      </c>
      <c r="D8" s="1"/>
      <c r="E8" s="1">
        <v>0.40689999999999998</v>
      </c>
      <c r="F8" s="1"/>
      <c r="G8" s="1"/>
      <c r="H8" s="1">
        <v>-0.1143</v>
      </c>
      <c r="I8" s="1"/>
      <c r="J8" s="1">
        <v>-0.15229999999999999</v>
      </c>
      <c r="K8" s="1"/>
      <c r="L8" s="1"/>
      <c r="M8" s="1">
        <v>-0.186</v>
      </c>
      <c r="N8" s="1"/>
      <c r="O8" s="1"/>
      <c r="P8" s="1">
        <v>2.9000000000000001E-2</v>
      </c>
      <c r="Q8" s="1">
        <v>3.0200000000000001E-2</v>
      </c>
      <c r="R8" s="1">
        <v>8.4199999999999997E-2</v>
      </c>
      <c r="S8" s="1">
        <v>-3.9600000000000003E-2</v>
      </c>
      <c r="T8" s="1">
        <v>0.1691</v>
      </c>
      <c r="U8" s="1">
        <v>7.6499999999999999E-2</v>
      </c>
    </row>
    <row r="9" spans="3:21" x14ac:dyDescent="0.3">
      <c r="C9" s="1">
        <v>-0.79569999999999996</v>
      </c>
      <c r="D9" s="1"/>
      <c r="E9" s="1">
        <v>0.67059999999999997</v>
      </c>
      <c r="F9" s="1"/>
      <c r="G9" s="1"/>
      <c r="H9" s="1">
        <v>-2.1299999999999999E-2</v>
      </c>
      <c r="I9" s="1"/>
      <c r="J9" s="1">
        <v>0.38269999999999998</v>
      </c>
      <c r="K9" s="1"/>
      <c r="L9" s="1"/>
      <c r="M9" s="1">
        <v>7.6200000000000004E-2</v>
      </c>
      <c r="N9" s="1"/>
      <c r="O9" s="1">
        <v>-0.23139999999999999</v>
      </c>
      <c r="P9" s="1">
        <v>-1.46E-2</v>
      </c>
      <c r="Q9" s="1">
        <v>6.1199999999999997E-2</v>
      </c>
      <c r="R9" s="1">
        <v>7.2599999999999998E-2</v>
      </c>
      <c r="S9" s="1">
        <v>-0.22090000000000001</v>
      </c>
      <c r="T9" s="1">
        <v>-4.8300000000000003E-2</v>
      </c>
      <c r="U9" s="1">
        <v>-4.7000000000000002E-3</v>
      </c>
    </row>
    <row r="10" spans="3:21" x14ac:dyDescent="0.3">
      <c r="C10" s="1">
        <v>-0.2097</v>
      </c>
      <c r="D10" s="1"/>
      <c r="E10" s="1">
        <v>-0.23100000000000001</v>
      </c>
      <c r="F10" s="1"/>
      <c r="G10" s="1"/>
      <c r="H10" s="1">
        <v>0.21440000000000001</v>
      </c>
      <c r="I10" s="1"/>
      <c r="J10" s="1">
        <v>1.7500000000000002E-2</v>
      </c>
      <c r="K10" s="1"/>
      <c r="L10" s="1"/>
      <c r="M10" s="1">
        <v>8.8599999999999998E-2</v>
      </c>
      <c r="N10" s="1"/>
      <c r="O10" s="1"/>
      <c r="P10" s="1">
        <v>7.0400000000000004E-2</v>
      </c>
      <c r="Q10" s="1">
        <v>4.1200000000000001E-2</v>
      </c>
      <c r="R10" s="1">
        <v>5.6899999999999999E-2</v>
      </c>
      <c r="S10" s="1">
        <v>-1.3899999999999999E-2</v>
      </c>
      <c r="T10" s="1">
        <v>0.11020000000000001</v>
      </c>
      <c r="U10" s="1">
        <v>-5.2900000000000003E-2</v>
      </c>
    </row>
    <row r="11" spans="3:21" x14ac:dyDescent="0.3">
      <c r="C11" s="1">
        <v>-8.5199999999999998E-2</v>
      </c>
      <c r="D11" s="1"/>
      <c r="E11" s="1">
        <v>-1.5699999999999999E-2</v>
      </c>
      <c r="F11" s="1"/>
      <c r="G11" s="1"/>
      <c r="H11" s="1">
        <v>0.53410000000000002</v>
      </c>
      <c r="I11" s="1"/>
      <c r="J11" s="1">
        <v>0.51170000000000004</v>
      </c>
      <c r="K11" s="1"/>
      <c r="L11" s="1"/>
      <c r="M11" s="1">
        <v>-9.9199999999999997E-2</v>
      </c>
      <c r="N11" s="1"/>
      <c r="O11" s="1">
        <v>0.1855</v>
      </c>
      <c r="P11" s="1">
        <v>3.9899999999999998E-2</v>
      </c>
      <c r="Q11" s="1">
        <v>-1.6000000000000001E-3</v>
      </c>
      <c r="R11" s="1">
        <v>1.14E-2</v>
      </c>
      <c r="S11" s="1">
        <v>0.2366</v>
      </c>
      <c r="T11" s="1">
        <v>3.2500000000000001E-2</v>
      </c>
      <c r="U11" s="1">
        <v>1.7299999999999999E-2</v>
      </c>
    </row>
    <row r="12" spans="3:21" x14ac:dyDescent="0.3">
      <c r="C12" s="1">
        <v>-0.24929999999999999</v>
      </c>
      <c r="D12" s="1"/>
      <c r="E12" s="1">
        <v>6.7299999999999999E-2</v>
      </c>
      <c r="F12" s="1"/>
      <c r="G12" s="1"/>
      <c r="H12" s="1">
        <v>0.1739</v>
      </c>
      <c r="I12" s="1"/>
      <c r="J12" s="1"/>
      <c r="K12" s="1"/>
      <c r="L12" s="1"/>
      <c r="M12" s="1">
        <v>0.26140000000000002</v>
      </c>
      <c r="N12" s="1"/>
      <c r="O12" s="1">
        <v>-2.8500000000000001E-2</v>
      </c>
      <c r="P12" s="1">
        <v>-0.12859999999999999</v>
      </c>
      <c r="Q12" s="1">
        <v>3.7699999999999997E-2</v>
      </c>
      <c r="R12" s="1">
        <v>-2.8999999999999998E-3</v>
      </c>
      <c r="S12" s="1">
        <v>0.2359</v>
      </c>
      <c r="T12" s="1">
        <v>-4.9000000000000002E-2</v>
      </c>
      <c r="U12" s="1">
        <v>2.0299999999999999E-2</v>
      </c>
    </row>
    <row r="13" spans="3:21" x14ac:dyDescent="0.3">
      <c r="C13" s="1">
        <v>-0.11119999999999999</v>
      </c>
      <c r="D13" s="1"/>
      <c r="E13" s="1">
        <v>-0.13539999999999999</v>
      </c>
      <c r="F13" s="1"/>
      <c r="G13" s="1"/>
      <c r="H13" s="1">
        <v>-0.63980000000000004</v>
      </c>
      <c r="I13" s="1"/>
      <c r="J13" s="1">
        <v>-3.7600000000000001E-2</v>
      </c>
      <c r="K13" s="1"/>
      <c r="L13" s="1"/>
      <c r="M13" s="1">
        <v>-3.4700000000000002E-2</v>
      </c>
      <c r="N13" s="1"/>
      <c r="O13" s="1">
        <v>3.2800000000000003E-2</v>
      </c>
      <c r="P13" s="1">
        <v>0.21529999999999999</v>
      </c>
      <c r="Q13" s="1">
        <v>1.9800000000000002E-2</v>
      </c>
      <c r="R13" s="1">
        <v>3.0700000000000002E-2</v>
      </c>
      <c r="S13" s="1">
        <v>0.23930000000000001</v>
      </c>
      <c r="T13" s="1">
        <v>-1.26E-2</v>
      </c>
      <c r="U13" s="1">
        <v>6.6500000000000004E-2</v>
      </c>
    </row>
    <row r="14" spans="3:21" x14ac:dyDescent="0.3">
      <c r="C14" s="1">
        <v>8.2699999999999996E-2</v>
      </c>
      <c r="D14" s="1"/>
      <c r="E14" s="1">
        <v>-6.9400000000000003E-2</v>
      </c>
      <c r="F14" s="1"/>
      <c r="G14" s="1"/>
      <c r="H14" s="1"/>
      <c r="I14" s="1"/>
      <c r="J14" s="1">
        <v>3.44E-2</v>
      </c>
      <c r="K14" s="1"/>
      <c r="L14" s="1"/>
      <c r="M14" s="1">
        <v>0.3886</v>
      </c>
      <c r="N14" s="1"/>
      <c r="O14" s="1">
        <v>-4.65E-2</v>
      </c>
      <c r="P14" s="1">
        <v>0.114</v>
      </c>
      <c r="Q14" s="1">
        <v>-1.2200000000000001E-2</v>
      </c>
      <c r="R14" s="1">
        <v>1.4200000000000001E-2</v>
      </c>
      <c r="S14" s="1">
        <v>4.4900000000000002E-2</v>
      </c>
      <c r="T14" s="1">
        <v>-3.4000000000000002E-2</v>
      </c>
      <c r="U14" s="1">
        <v>-3.5999999999999999E-3</v>
      </c>
    </row>
    <row r="15" spans="3:21" x14ac:dyDescent="0.3">
      <c r="C15" s="1">
        <v>-0.2392</v>
      </c>
      <c r="D15" s="1"/>
      <c r="E15" s="1">
        <v>0.2059</v>
      </c>
      <c r="F15" s="1"/>
      <c r="G15" s="1"/>
      <c r="H15" s="1">
        <v>-0.82240000000000002</v>
      </c>
      <c r="I15" s="1"/>
      <c r="J15" s="1">
        <v>5.0799999999999998E-2</v>
      </c>
      <c r="K15" s="1"/>
      <c r="L15" s="1"/>
      <c r="M15" s="1">
        <v>0.31759999999999999</v>
      </c>
      <c r="N15" s="1"/>
      <c r="O15" s="1">
        <v>-3.7499999999999999E-2</v>
      </c>
      <c r="P15" s="1">
        <v>5.8999999999999999E-3</v>
      </c>
      <c r="Q15" s="1">
        <v>3.78E-2</v>
      </c>
      <c r="R15" s="1">
        <v>2.4E-2</v>
      </c>
      <c r="S15" s="1">
        <v>-2.5600000000000001E-2</v>
      </c>
      <c r="T15" s="1">
        <v>-5.3900000000000003E-2</v>
      </c>
      <c r="U15" s="1">
        <v>2.0899999999999998E-2</v>
      </c>
    </row>
    <row r="16" spans="3:21" x14ac:dyDescent="0.3">
      <c r="C16" s="1">
        <v>-9.9500000000000005E-2</v>
      </c>
      <c r="D16" s="1"/>
      <c r="E16" s="1">
        <v>-2.4299999999999999E-2</v>
      </c>
      <c r="F16" s="1"/>
      <c r="G16" s="1"/>
      <c r="H16" s="1">
        <v>-0.61680000000000001</v>
      </c>
      <c r="I16" s="1"/>
      <c r="J16" s="1">
        <v>-1.6899999999999998E-2</v>
      </c>
      <c r="K16" s="1"/>
      <c r="L16" s="1"/>
      <c r="M16" s="1">
        <v>0.15210000000000001</v>
      </c>
      <c r="N16" s="1"/>
      <c r="O16" s="1">
        <v>1.5699999999999999E-2</v>
      </c>
      <c r="P16" s="1">
        <v>0.1178</v>
      </c>
      <c r="Q16" s="1">
        <v>-1.8800000000000001E-2</v>
      </c>
      <c r="R16" s="1">
        <v>-3.2000000000000001E-2</v>
      </c>
      <c r="S16" s="1">
        <v>-3.7900000000000003E-2</v>
      </c>
      <c r="T16" s="1">
        <v>7.5399999999999995E-2</v>
      </c>
      <c r="U16" s="1">
        <v>-4.6600000000000003E-2</v>
      </c>
    </row>
    <row r="17" spans="1:21" x14ac:dyDescent="0.3">
      <c r="C17" s="1">
        <v>0.29820000000000002</v>
      </c>
      <c r="D17" s="1"/>
      <c r="E17" s="1">
        <v>0.1201</v>
      </c>
      <c r="F17" s="1"/>
      <c r="G17" s="1"/>
      <c r="H17" s="1">
        <v>0.436</v>
      </c>
      <c r="I17" s="1"/>
      <c r="J17" s="1">
        <v>8.1100000000000005E-2</v>
      </c>
      <c r="K17" s="1"/>
      <c r="L17" s="1"/>
      <c r="M17" s="1">
        <v>-0.78129999999999999</v>
      </c>
      <c r="N17" s="1"/>
      <c r="O17" s="1">
        <v>0.1651</v>
      </c>
      <c r="P17" s="1">
        <v>-1.04E-2</v>
      </c>
      <c r="Q17" s="1">
        <v>-8.3199999999999996E-2</v>
      </c>
      <c r="R17" s="1">
        <v>1.52E-2</v>
      </c>
      <c r="S17" s="1">
        <v>-4.3400000000000001E-2</v>
      </c>
      <c r="T17" s="1">
        <v>7.3599999999999999E-2</v>
      </c>
      <c r="U17" s="1">
        <v>-6.9999999999999999E-4</v>
      </c>
    </row>
    <row r="18" spans="1:21" x14ac:dyDescent="0.3">
      <c r="C18" s="1">
        <v>-8.8200000000000001E-2</v>
      </c>
      <c r="D18" s="1"/>
      <c r="E18" s="1">
        <v>3.5499999999999997E-2</v>
      </c>
      <c r="F18" s="1"/>
      <c r="G18" s="1"/>
      <c r="H18" s="1">
        <v>0.56989999999999996</v>
      </c>
      <c r="I18" s="1"/>
      <c r="J18" s="1">
        <v>-1.2E-2</v>
      </c>
      <c r="K18" s="1"/>
      <c r="L18" s="1"/>
      <c r="M18" s="1">
        <v>-4.7399999999999998E-2</v>
      </c>
      <c r="N18" s="1"/>
      <c r="O18" s="1">
        <v>-4.0599999999999997E-2</v>
      </c>
      <c r="P18" s="1">
        <v>6.1600000000000002E-2</v>
      </c>
      <c r="Q18" s="1">
        <v>-4.1099999999999998E-2</v>
      </c>
      <c r="R18" s="1">
        <v>-2.2000000000000001E-3</v>
      </c>
      <c r="S18" s="1">
        <v>2.9600000000000001E-2</v>
      </c>
      <c r="T18" s="1">
        <v>-2.58E-2</v>
      </c>
      <c r="U18" s="1">
        <v>1.9E-2</v>
      </c>
    </row>
    <row r="19" spans="1:21" x14ac:dyDescent="0.3">
      <c r="C19" s="1">
        <v>-3.5299999999999998E-2</v>
      </c>
      <c r="D19" s="1"/>
      <c r="E19" s="1">
        <v>-1.21E-2</v>
      </c>
      <c r="F19" s="1"/>
      <c r="G19" s="1"/>
      <c r="H19" s="1"/>
      <c r="I19" s="1"/>
      <c r="J19" s="1">
        <v>-7.7299999999999994E-2</v>
      </c>
      <c r="K19" s="1"/>
      <c r="L19" s="1"/>
      <c r="M19" s="1">
        <v>2.8299999999999999E-2</v>
      </c>
      <c r="N19" s="1"/>
      <c r="O19" s="1">
        <v>1.2549999999999999</v>
      </c>
      <c r="P19" s="1">
        <v>-1.4E-3</v>
      </c>
      <c r="Q19" s="1">
        <v>6.2199999999999998E-2</v>
      </c>
      <c r="R19" s="1">
        <v>3.7499999999999999E-2</v>
      </c>
      <c r="S19" s="1">
        <v>4.4699999999999997E-2</v>
      </c>
      <c r="T19" s="1">
        <v>5.3900000000000003E-2</v>
      </c>
      <c r="U19" s="1">
        <v>0.26910000000000001</v>
      </c>
    </row>
    <row r="20" spans="1:21" x14ac:dyDescent="0.3">
      <c r="A20" s="5" t="s">
        <v>21</v>
      </c>
      <c r="B20" s="5"/>
      <c r="C20" s="8">
        <f>AVERAGE(C2:C19)</f>
        <v>3.533333333333328E-3</v>
      </c>
      <c r="D20" s="7"/>
      <c r="E20" s="8">
        <f>AVERAGE(E2:E19)</f>
        <v>0.10205555555555557</v>
      </c>
      <c r="F20" s="1"/>
      <c r="G20" s="1"/>
      <c r="H20" s="8">
        <f>AVERAGE(H2:H19)</f>
        <v>-1.681875E-2</v>
      </c>
      <c r="I20" s="1"/>
      <c r="J20" s="8">
        <f>AVERAGE(J2:J19)</f>
        <v>0.10622500000000001</v>
      </c>
      <c r="K20" s="1"/>
      <c r="L20" s="1"/>
      <c r="M20" s="8">
        <f>AVERAGE(M2:M19)</f>
        <v>-3.5805555555555528E-2</v>
      </c>
      <c r="N20" s="1"/>
      <c r="O20" s="8">
        <f>AVERAGE(O2:O19)</f>
        <v>8.5126666666666656E-2</v>
      </c>
      <c r="P20" s="8">
        <f>AVERAGE(P2:P19)</f>
        <v>4.9141176470588244E-2</v>
      </c>
      <c r="Q20" s="8">
        <f t="shared" ref="Q20:U20" si="0">AVERAGE(Q2:Q19)</f>
        <v>8.2027777777777797E-2</v>
      </c>
      <c r="R20" s="8">
        <f t="shared" si="0"/>
        <v>7.5647058823529428E-2</v>
      </c>
      <c r="S20" s="8">
        <f t="shared" si="0"/>
        <v>7.4172222222222223E-2</v>
      </c>
      <c r="T20" s="8">
        <f t="shared" si="0"/>
        <v>0.10006470588235294</v>
      </c>
      <c r="U20" s="8">
        <f t="shared" si="0"/>
        <v>0.14818235294117643</v>
      </c>
    </row>
    <row r="22" spans="1:21" x14ac:dyDescent="0.3">
      <c r="A22" s="2" t="s">
        <v>19</v>
      </c>
      <c r="B22" s="2" t="s">
        <v>20</v>
      </c>
      <c r="T22" t="s">
        <v>21</v>
      </c>
      <c r="U22" s="7">
        <f>AVERAGE(C20:U20)</f>
        <v>6.4462628676470582E-2</v>
      </c>
    </row>
    <row r="23" spans="1:21" x14ac:dyDescent="0.3">
      <c r="T23" t="s">
        <v>22</v>
      </c>
      <c r="U23" s="7">
        <f>STDEV(C20:U20)</f>
        <v>5.4769123495588996E-2</v>
      </c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tabSelected="1" workbookViewId="0">
      <selection activeCell="O30" sqref="O30"/>
    </sheetView>
  </sheetViews>
  <sheetFormatPr defaultRowHeight="14.4" x14ac:dyDescent="0.3"/>
  <sheetData>
    <row r="1" spans="2:21" s="5" customFormat="1" x14ac:dyDescent="0.3"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</row>
    <row r="2" spans="2:21" x14ac:dyDescent="0.3">
      <c r="B2" s="1"/>
      <c r="C2" s="1"/>
      <c r="D2" s="6">
        <v>0.16170000000000001</v>
      </c>
      <c r="E2" s="6">
        <v>0.30640000000000001</v>
      </c>
      <c r="F2" s="6"/>
      <c r="G2" s="6"/>
      <c r="H2" s="6"/>
      <c r="I2" s="6">
        <v>1.0077</v>
      </c>
      <c r="J2" s="6"/>
      <c r="K2" s="6">
        <v>0.3659</v>
      </c>
      <c r="L2" s="6"/>
      <c r="M2" s="6"/>
      <c r="N2" s="6">
        <v>1.3625</v>
      </c>
      <c r="O2" s="6"/>
      <c r="P2" s="6"/>
      <c r="Q2" s="6"/>
      <c r="R2" s="6">
        <v>0.3407</v>
      </c>
      <c r="S2" s="6"/>
      <c r="T2" s="6">
        <v>0.13600000000000001</v>
      </c>
      <c r="U2" s="1"/>
    </row>
    <row r="3" spans="2:21" x14ac:dyDescent="0.3">
      <c r="B3" s="1"/>
      <c r="C3" s="1"/>
      <c r="D3" s="6"/>
      <c r="E3" s="6">
        <v>0.54969999999999997</v>
      </c>
      <c r="F3" s="6"/>
      <c r="G3" s="6"/>
      <c r="H3" s="6"/>
      <c r="I3" s="6">
        <v>2.4016000000000002</v>
      </c>
      <c r="J3" s="6"/>
      <c r="K3" s="6">
        <v>1.3785000000000001</v>
      </c>
      <c r="L3" s="6"/>
      <c r="M3" s="6"/>
      <c r="N3" s="6"/>
      <c r="O3" s="6"/>
      <c r="P3" s="6"/>
      <c r="Q3" s="6"/>
      <c r="R3" s="6">
        <v>0.33779999999999999</v>
      </c>
      <c r="S3" s="6"/>
      <c r="T3" s="6">
        <v>0.19359999999999999</v>
      </c>
      <c r="U3" s="1"/>
    </row>
    <row r="4" spans="2:21" x14ac:dyDescent="0.3">
      <c r="B4" s="1"/>
      <c r="C4" s="1"/>
      <c r="D4" s="6">
        <v>0.1086</v>
      </c>
      <c r="E4" s="6">
        <v>-0.2505</v>
      </c>
      <c r="F4" s="6"/>
      <c r="G4" s="6"/>
      <c r="H4" s="6"/>
      <c r="I4" s="6">
        <v>0.14419999999999999</v>
      </c>
      <c r="J4" s="6"/>
      <c r="K4" s="6">
        <v>0.1515</v>
      </c>
      <c r="L4" s="6"/>
      <c r="M4" s="6"/>
      <c r="N4" s="6">
        <v>0.80030000000000001</v>
      </c>
      <c r="O4" s="6"/>
      <c r="P4" s="6"/>
      <c r="Q4" s="6"/>
      <c r="R4" s="6">
        <v>0.47939999999999999</v>
      </c>
      <c r="S4" s="6"/>
      <c r="T4" s="6">
        <v>0.22589999999999999</v>
      </c>
      <c r="U4" s="1"/>
    </row>
    <row r="5" spans="2:21" x14ac:dyDescent="0.3">
      <c r="B5" s="1"/>
      <c r="C5" s="1"/>
      <c r="D5" s="6">
        <v>0.35539999999999999</v>
      </c>
      <c r="E5" s="6">
        <v>6.7000000000000002E-3</v>
      </c>
      <c r="F5" s="6"/>
      <c r="G5" s="6"/>
      <c r="H5" s="6"/>
      <c r="I5" s="6">
        <v>2.4722</v>
      </c>
      <c r="J5" s="6"/>
      <c r="K5" s="6">
        <v>1.3794</v>
      </c>
      <c r="L5" s="6"/>
      <c r="M5" s="6"/>
      <c r="N5" s="6">
        <v>1.4320999999999999</v>
      </c>
      <c r="O5" s="6"/>
      <c r="P5" s="6"/>
      <c r="Q5" s="6"/>
      <c r="R5" s="6">
        <v>-0.52390000000000003</v>
      </c>
      <c r="S5" s="6"/>
      <c r="T5" s="6">
        <v>8.6099999999999996E-2</v>
      </c>
      <c r="U5" s="1"/>
    </row>
    <row r="6" spans="2:21" x14ac:dyDescent="0.3">
      <c r="B6" s="1"/>
      <c r="C6" s="1"/>
      <c r="D6" s="6">
        <v>0.40029999999999999</v>
      </c>
      <c r="E6" s="6">
        <v>0.38219999999999998</v>
      </c>
      <c r="F6" s="6"/>
      <c r="G6" s="6"/>
      <c r="H6" s="6"/>
      <c r="I6" s="6">
        <v>1.2184999999999999</v>
      </c>
      <c r="J6" s="6"/>
      <c r="K6" s="6">
        <v>0.56820000000000004</v>
      </c>
      <c r="L6" s="6"/>
      <c r="M6" s="6"/>
      <c r="N6" s="6">
        <v>0.4733</v>
      </c>
      <c r="O6" s="6"/>
      <c r="P6" s="6"/>
      <c r="Q6" s="6"/>
      <c r="R6" s="6">
        <v>0.1401</v>
      </c>
      <c r="S6" s="6"/>
      <c r="T6" s="6">
        <v>-2.2100000000000002E-2</v>
      </c>
      <c r="U6" s="1"/>
    </row>
    <row r="7" spans="2:21" x14ac:dyDescent="0.3">
      <c r="B7" s="1"/>
      <c r="C7" s="1"/>
      <c r="D7" s="6"/>
      <c r="E7" s="6">
        <v>0.17399999999999999</v>
      </c>
      <c r="F7" s="6"/>
      <c r="G7" s="6"/>
      <c r="H7" s="6"/>
      <c r="I7" s="6">
        <v>0.58509999999999995</v>
      </c>
      <c r="J7" s="6"/>
      <c r="K7" s="6">
        <v>0.1076</v>
      </c>
      <c r="L7" s="6"/>
      <c r="M7" s="6"/>
      <c r="N7" s="6">
        <v>0.29849999999999999</v>
      </c>
      <c r="O7" s="6"/>
      <c r="P7" s="6"/>
      <c r="Q7" s="6"/>
      <c r="R7" s="6">
        <v>0.18509999999999999</v>
      </c>
      <c r="S7" s="6"/>
      <c r="T7" s="6">
        <v>0.06</v>
      </c>
      <c r="U7" s="1"/>
    </row>
    <row r="8" spans="2:21" x14ac:dyDescent="0.3">
      <c r="B8" s="1"/>
      <c r="C8" s="1"/>
      <c r="D8" s="6">
        <v>0.32179999999999997</v>
      </c>
      <c r="E8" s="6">
        <v>0.24490000000000001</v>
      </c>
      <c r="F8" s="6"/>
      <c r="G8" s="6"/>
      <c r="H8" s="6"/>
      <c r="I8" s="6">
        <v>0.59499999999999997</v>
      </c>
      <c r="J8" s="6"/>
      <c r="K8" s="6">
        <v>1.2881</v>
      </c>
      <c r="L8" s="6"/>
      <c r="M8" s="6"/>
      <c r="N8" s="6">
        <v>-1.6999999999999999E-3</v>
      </c>
      <c r="O8" s="6"/>
      <c r="P8" s="6">
        <v>0.6321</v>
      </c>
      <c r="Q8" s="6"/>
      <c r="R8" s="6">
        <v>0.3831</v>
      </c>
      <c r="S8" s="6"/>
      <c r="T8" s="6">
        <v>0.22789999999999999</v>
      </c>
      <c r="U8" s="1"/>
    </row>
    <row r="9" spans="2:21" x14ac:dyDescent="0.3">
      <c r="B9" s="1"/>
      <c r="C9" s="1"/>
      <c r="D9" s="6">
        <v>0.14929999999999999</v>
      </c>
      <c r="E9" s="6">
        <v>0.188</v>
      </c>
      <c r="F9" s="6"/>
      <c r="G9" s="6"/>
      <c r="H9" s="6"/>
      <c r="I9" s="6">
        <v>0.48970000000000002</v>
      </c>
      <c r="J9" s="6"/>
      <c r="K9" s="6">
        <v>0.33079999999999998</v>
      </c>
      <c r="L9" s="6"/>
      <c r="M9" s="6"/>
      <c r="N9" s="6">
        <v>0.53549999999999998</v>
      </c>
      <c r="O9" s="6"/>
      <c r="P9" s="6">
        <v>0.91059999999999997</v>
      </c>
      <c r="Q9" s="6"/>
      <c r="R9" s="6">
        <v>5.7700000000000001E-2</v>
      </c>
      <c r="S9" s="6"/>
      <c r="T9" s="6">
        <v>0.31359999999999999</v>
      </c>
      <c r="U9" s="1"/>
    </row>
    <row r="10" spans="2:21" x14ac:dyDescent="0.3">
      <c r="B10" s="1"/>
      <c r="C10" s="1"/>
      <c r="D10" s="6">
        <v>-2.8999999999999998E-3</v>
      </c>
      <c r="E10" s="6">
        <v>0.33429999999999999</v>
      </c>
      <c r="F10" s="6"/>
      <c r="G10" s="6"/>
      <c r="H10" s="6"/>
      <c r="I10" s="6">
        <v>0.35959999999999998</v>
      </c>
      <c r="J10" s="6"/>
      <c r="K10" s="6">
        <v>0.16869999999999999</v>
      </c>
      <c r="L10" s="6"/>
      <c r="M10" s="6"/>
      <c r="N10" s="6">
        <v>0.74580000000000002</v>
      </c>
      <c r="O10" s="6"/>
      <c r="P10" s="6">
        <v>0.53620000000000001</v>
      </c>
      <c r="Q10" s="6"/>
      <c r="R10" s="6">
        <v>0.37019999999999997</v>
      </c>
      <c r="S10" s="6"/>
      <c r="T10" s="6">
        <v>1.1000000000000001E-3</v>
      </c>
      <c r="U10" s="1"/>
    </row>
    <row r="11" spans="2:21" x14ac:dyDescent="0.3">
      <c r="B11" s="1"/>
      <c r="C11" s="1"/>
      <c r="D11" s="6">
        <v>0.16239999999999999</v>
      </c>
      <c r="E11" s="6">
        <v>-3.9100000000000003E-2</v>
      </c>
      <c r="F11" s="6"/>
      <c r="G11" s="6"/>
      <c r="H11" s="6"/>
      <c r="I11" s="6">
        <v>0.18790000000000001</v>
      </c>
      <c r="J11" s="6"/>
      <c r="K11" s="6">
        <v>0.30980000000000002</v>
      </c>
      <c r="L11" s="6"/>
      <c r="M11" s="6"/>
      <c r="N11" s="6">
        <v>0.108</v>
      </c>
      <c r="O11" s="6"/>
      <c r="P11" s="6">
        <v>0.28349999999999997</v>
      </c>
      <c r="Q11" s="6"/>
      <c r="R11" s="6">
        <v>8.2799999999999999E-2</v>
      </c>
      <c r="S11" s="6"/>
      <c r="T11" s="6">
        <v>8.4699999999999998E-2</v>
      </c>
      <c r="U11" s="1"/>
    </row>
    <row r="12" spans="2:21" x14ac:dyDescent="0.3">
      <c r="B12" s="1"/>
      <c r="C12" s="1"/>
      <c r="D12" s="6">
        <v>0.20660000000000001</v>
      </c>
      <c r="E12" s="6">
        <v>0.12230000000000001</v>
      </c>
      <c r="F12" s="6"/>
      <c r="G12" s="6"/>
      <c r="H12" s="6"/>
      <c r="I12" s="6">
        <v>0.1734</v>
      </c>
      <c r="J12" s="6"/>
      <c r="K12" s="6">
        <v>0.21510000000000001</v>
      </c>
      <c r="L12" s="6"/>
      <c r="M12" s="6"/>
      <c r="N12" s="6">
        <v>0.68340000000000001</v>
      </c>
      <c r="O12" s="6"/>
      <c r="P12" s="6"/>
      <c r="Q12" s="6"/>
      <c r="R12" s="6">
        <v>8.6499999999999994E-2</v>
      </c>
      <c r="S12" s="6"/>
      <c r="T12" s="6">
        <v>-8.8400000000000006E-2</v>
      </c>
      <c r="U12" s="1"/>
    </row>
    <row r="13" spans="2:21" x14ac:dyDescent="0.3">
      <c r="B13" s="1"/>
      <c r="C13" s="1"/>
      <c r="D13" s="6">
        <v>-2.1600000000000001E-2</v>
      </c>
      <c r="E13" s="6">
        <v>-7.8799999999999995E-2</v>
      </c>
      <c r="F13" s="6"/>
      <c r="G13" s="6"/>
      <c r="H13" s="6"/>
      <c r="I13" s="6">
        <v>0.2586</v>
      </c>
      <c r="J13" s="6"/>
      <c r="K13" s="6">
        <v>0.22789999999999999</v>
      </c>
      <c r="L13" s="6"/>
      <c r="M13" s="6"/>
      <c r="N13" s="6">
        <v>0.1641</v>
      </c>
      <c r="O13" s="6"/>
      <c r="P13" s="6">
        <v>2.5188999999999999</v>
      </c>
      <c r="Q13" s="6"/>
      <c r="R13" s="6">
        <v>0.1658</v>
      </c>
      <c r="S13" s="6"/>
      <c r="T13" s="6">
        <v>0.17019999999999999</v>
      </c>
      <c r="U13" s="1"/>
    </row>
    <row r="14" spans="2:21" x14ac:dyDescent="0.3">
      <c r="B14" s="1"/>
      <c r="C14" s="1"/>
      <c r="D14" s="6">
        <v>0.4027</v>
      </c>
      <c r="E14" s="6">
        <v>-4.1200000000000001E-2</v>
      </c>
      <c r="F14" s="6"/>
      <c r="G14" s="6"/>
      <c r="H14" s="6"/>
      <c r="I14" s="6">
        <v>6.9000000000000006E-2</v>
      </c>
      <c r="J14" s="6"/>
      <c r="K14" s="6">
        <v>0.1865</v>
      </c>
      <c r="L14" s="6"/>
      <c r="M14" s="6"/>
      <c r="N14" s="6">
        <v>-4.1700000000000001E-2</v>
      </c>
      <c r="O14" s="6"/>
      <c r="P14" s="6">
        <v>7.1300000000000002E-2</v>
      </c>
      <c r="Q14" s="6"/>
      <c r="R14" s="6">
        <v>0.1421</v>
      </c>
      <c r="S14" s="6"/>
      <c r="T14" s="6">
        <v>4.8000000000000001E-2</v>
      </c>
      <c r="U14" s="1"/>
    </row>
    <row r="15" spans="2:21" x14ac:dyDescent="0.3">
      <c r="B15" s="1"/>
      <c r="C15" s="1"/>
      <c r="D15" s="6">
        <v>0.22020000000000001</v>
      </c>
      <c r="E15" s="6">
        <v>0.15310000000000001</v>
      </c>
      <c r="F15" s="6"/>
      <c r="G15" s="6"/>
      <c r="H15" s="6"/>
      <c r="I15" s="6">
        <v>0.14760000000000001</v>
      </c>
      <c r="J15" s="6"/>
      <c r="K15" s="6">
        <v>-0.22670000000000001</v>
      </c>
      <c r="L15" s="6"/>
      <c r="M15" s="6"/>
      <c r="N15" s="6">
        <v>0.3024</v>
      </c>
      <c r="O15" s="6"/>
      <c r="P15" s="6">
        <v>0.49080000000000001</v>
      </c>
      <c r="Q15" s="6"/>
      <c r="R15" s="6">
        <v>0.16869999999999999</v>
      </c>
      <c r="S15" s="6"/>
      <c r="T15" s="6">
        <v>-0.55469999999999997</v>
      </c>
      <c r="U15" s="1"/>
    </row>
    <row r="16" spans="2:21" x14ac:dyDescent="0.3">
      <c r="B16" s="1"/>
      <c r="C16" s="1"/>
      <c r="D16" s="6"/>
      <c r="E16" s="6">
        <v>8.6999999999999994E-2</v>
      </c>
      <c r="F16" s="6"/>
      <c r="G16" s="6"/>
      <c r="H16" s="6"/>
      <c r="I16" s="6">
        <v>0.46</v>
      </c>
      <c r="J16" s="6"/>
      <c r="K16" s="6">
        <v>0.48830000000000001</v>
      </c>
      <c r="L16" s="6"/>
      <c r="M16" s="6"/>
      <c r="N16" s="6">
        <v>0.33289999999999997</v>
      </c>
      <c r="O16" s="6"/>
      <c r="P16" s="6">
        <v>0.73429999999999995</v>
      </c>
      <c r="Q16" s="6"/>
      <c r="R16" s="6">
        <v>0.21190000000000001</v>
      </c>
      <c r="S16" s="6"/>
      <c r="T16" s="6">
        <v>0.1507</v>
      </c>
      <c r="U16" s="1"/>
    </row>
    <row r="17" spans="1:21" x14ac:dyDescent="0.3">
      <c r="B17" s="1"/>
      <c r="C17" s="1"/>
      <c r="D17" s="6">
        <v>-0.12559999999999999</v>
      </c>
      <c r="E17" s="6">
        <v>-1.4800000000000001E-2</v>
      </c>
      <c r="F17" s="6"/>
      <c r="G17" s="6"/>
      <c r="H17" s="6"/>
      <c r="I17" s="6">
        <v>-0.12770000000000001</v>
      </c>
      <c r="J17" s="6"/>
      <c r="K17" s="6">
        <v>5.67E-2</v>
      </c>
      <c r="L17" s="6"/>
      <c r="M17" s="6"/>
      <c r="N17" s="6">
        <v>0.22789999999999999</v>
      </c>
      <c r="O17" s="6"/>
      <c r="P17" s="6"/>
      <c r="Q17" s="6"/>
      <c r="R17" s="6">
        <v>-0.17349999999999999</v>
      </c>
      <c r="S17" s="6"/>
      <c r="T17" s="6">
        <v>-1.6199999999999999E-2</v>
      </c>
      <c r="U17" s="1"/>
    </row>
    <row r="18" spans="1:21" x14ac:dyDescent="0.3">
      <c r="B18" s="1"/>
      <c r="C18" s="1"/>
      <c r="D18" s="6">
        <v>-4.8500000000000001E-2</v>
      </c>
      <c r="E18" s="6">
        <v>-6.9500000000000006E-2</v>
      </c>
      <c r="F18" s="6"/>
      <c r="G18" s="6"/>
      <c r="H18" s="6"/>
      <c r="I18" s="6">
        <v>1.6199999999999999E-2</v>
      </c>
      <c r="J18" s="6"/>
      <c r="K18" s="6">
        <v>-7.5499999999999998E-2</v>
      </c>
      <c r="L18" s="6"/>
      <c r="M18" s="6"/>
      <c r="N18" s="6"/>
      <c r="O18" s="6"/>
      <c r="P18" s="6">
        <v>-0.19639999999999999</v>
      </c>
      <c r="Q18" s="6"/>
      <c r="R18" s="6">
        <v>4.1200000000000001E-2</v>
      </c>
      <c r="S18" s="6"/>
      <c r="T18" s="6">
        <v>-0.37830000000000003</v>
      </c>
      <c r="U18" s="1"/>
    </row>
    <row r="19" spans="1:21" x14ac:dyDescent="0.3">
      <c r="B19" s="1"/>
      <c r="C19" s="1"/>
      <c r="D19" s="6">
        <v>0.17610000000000001</v>
      </c>
      <c r="E19" s="6">
        <v>0.16550000000000001</v>
      </c>
      <c r="F19" s="6"/>
      <c r="G19" s="6"/>
      <c r="H19" s="6"/>
      <c r="I19" s="6">
        <v>0.41189999999999999</v>
      </c>
      <c r="J19" s="6"/>
      <c r="K19" s="6">
        <v>0.24299999999999999</v>
      </c>
      <c r="L19" s="6"/>
      <c r="M19" s="6"/>
      <c r="N19" s="6">
        <v>-3.4000000000000002E-2</v>
      </c>
      <c r="O19" s="6"/>
      <c r="P19" s="6">
        <v>0.76749999999999996</v>
      </c>
      <c r="Q19" s="6"/>
      <c r="R19" s="6">
        <v>6.8000000000000005E-2</v>
      </c>
      <c r="S19" s="6"/>
      <c r="T19" s="6">
        <v>7.2900000000000006E-2</v>
      </c>
      <c r="U19" s="1"/>
    </row>
    <row r="20" spans="1:21" x14ac:dyDescent="0.3">
      <c r="B20" s="1"/>
      <c r="C20" s="1"/>
      <c r="D20" s="6">
        <v>2.8999999999999998E-3</v>
      </c>
      <c r="E20" s="6">
        <v>0.48170000000000002</v>
      </c>
      <c r="F20" s="6"/>
      <c r="G20" s="6"/>
      <c r="H20" s="6"/>
      <c r="I20" s="6">
        <v>0.3911</v>
      </c>
      <c r="J20" s="6"/>
      <c r="K20" s="6">
        <v>4.0000000000000001E-3</v>
      </c>
      <c r="L20" s="6"/>
      <c r="M20" s="6"/>
      <c r="N20" s="6"/>
      <c r="O20" s="6"/>
      <c r="P20" s="6">
        <v>0.23910000000000001</v>
      </c>
      <c r="Q20" s="6"/>
      <c r="R20" s="6">
        <v>-2.2599999999999999E-2</v>
      </c>
      <c r="S20" s="6"/>
      <c r="T20" s="6">
        <v>0.1182</v>
      </c>
      <c r="U20" s="1"/>
    </row>
    <row r="21" spans="1:21" x14ac:dyDescent="0.3">
      <c r="B21" s="1"/>
      <c r="C21" s="1"/>
      <c r="D21" s="6"/>
      <c r="E21" s="6">
        <v>0.40949999999999998</v>
      </c>
      <c r="F21" s="6"/>
      <c r="G21" s="6"/>
      <c r="H21" s="6"/>
      <c r="I21" s="6">
        <v>0.42509999999999998</v>
      </c>
      <c r="J21" s="6"/>
      <c r="K21" s="6">
        <v>0.2077</v>
      </c>
      <c r="L21" s="6"/>
      <c r="M21" s="6"/>
      <c r="N21" s="6">
        <v>0.214</v>
      </c>
      <c r="O21" s="6"/>
      <c r="P21" s="6">
        <v>0.25969999999999999</v>
      </c>
      <c r="Q21" s="6"/>
      <c r="R21" s="6">
        <v>9.06E-2</v>
      </c>
      <c r="S21" s="6"/>
      <c r="T21" s="6">
        <v>6.0100000000000001E-2</v>
      </c>
      <c r="U21" s="1"/>
    </row>
    <row r="22" spans="1:21" x14ac:dyDescent="0.3">
      <c r="B22" s="1"/>
      <c r="C22" s="1"/>
      <c r="D22" s="6">
        <v>-2.06E-2</v>
      </c>
      <c r="E22" s="6">
        <v>0.40949999999999998</v>
      </c>
      <c r="F22" s="6"/>
      <c r="G22" s="6"/>
      <c r="H22" s="6"/>
      <c r="I22" s="6">
        <v>0.2492</v>
      </c>
      <c r="J22" s="6"/>
      <c r="K22" s="6">
        <v>0.17780000000000001</v>
      </c>
      <c r="L22" s="6"/>
      <c r="M22" s="6"/>
      <c r="N22" s="6"/>
      <c r="O22" s="6"/>
      <c r="P22" s="6">
        <v>0.17510000000000001</v>
      </c>
      <c r="Q22" s="6"/>
      <c r="R22" s="6">
        <v>4.2200000000000001E-2</v>
      </c>
      <c r="S22" s="6"/>
      <c r="T22" s="6">
        <v>-0.27800000000000002</v>
      </c>
      <c r="U22" s="1"/>
    </row>
    <row r="23" spans="1:21" x14ac:dyDescent="0.3">
      <c r="B23" s="1"/>
      <c r="C23" s="1"/>
      <c r="D23" s="6">
        <v>0.2142</v>
      </c>
      <c r="E23" s="6">
        <v>0.23449999999999999</v>
      </c>
      <c r="F23" s="6"/>
      <c r="G23" s="6"/>
      <c r="H23" s="6"/>
      <c r="I23" s="6">
        <v>6.9599999999999995E-2</v>
      </c>
      <c r="J23" s="6"/>
      <c r="K23" s="6">
        <v>0.10489999999999999</v>
      </c>
      <c r="L23" s="6"/>
      <c r="M23" s="6"/>
      <c r="N23" s="6">
        <v>0.49990000000000001</v>
      </c>
      <c r="O23" s="6"/>
      <c r="P23" s="6">
        <v>1.66E-2</v>
      </c>
      <c r="Q23" s="6"/>
      <c r="R23" s="6">
        <v>6.9699999999999998E-2</v>
      </c>
      <c r="S23" s="6"/>
      <c r="T23" s="6">
        <v>5.3600000000000002E-2</v>
      </c>
      <c r="U23" s="1"/>
    </row>
    <row r="24" spans="1:21" x14ac:dyDescent="0.3">
      <c r="B24" s="1"/>
      <c r="C24" s="1"/>
      <c r="D24" s="6">
        <v>0.4178</v>
      </c>
      <c r="E24" s="6">
        <v>4.1799999999999997E-2</v>
      </c>
      <c r="F24" s="6"/>
      <c r="G24" s="6"/>
      <c r="H24" s="6"/>
      <c r="I24" s="6">
        <v>-2.5399999999999999E-2</v>
      </c>
      <c r="J24" s="6"/>
      <c r="K24" s="6">
        <v>0.12839999999999999</v>
      </c>
      <c r="L24" s="6"/>
      <c r="M24" s="6"/>
      <c r="N24" s="6">
        <v>-1.7722</v>
      </c>
      <c r="O24" s="6"/>
      <c r="P24" s="6">
        <v>-2.6200000000000001E-2</v>
      </c>
      <c r="Q24" s="6"/>
      <c r="R24" s="6">
        <v>4.9299999999999997E-2</v>
      </c>
      <c r="S24" s="6"/>
      <c r="T24" s="6">
        <v>1.9199999999999998E-2</v>
      </c>
      <c r="U24" s="1"/>
    </row>
    <row r="25" spans="1:21" x14ac:dyDescent="0.3">
      <c r="B25" s="1"/>
      <c r="C25" s="1"/>
      <c r="D25" s="6">
        <v>2.4693999999999998</v>
      </c>
      <c r="E25" s="6">
        <v>0.1454</v>
      </c>
      <c r="F25" s="6"/>
      <c r="G25" s="6"/>
      <c r="H25" s="6"/>
      <c r="I25" s="6">
        <v>-0.1178</v>
      </c>
      <c r="J25" s="6"/>
      <c r="K25" s="6">
        <v>0.161</v>
      </c>
      <c r="L25" s="6"/>
      <c r="M25" s="6"/>
      <c r="N25" s="6">
        <v>0.223</v>
      </c>
      <c r="O25" s="6"/>
      <c r="P25" s="6">
        <v>-5.9900000000000002E-2</v>
      </c>
      <c r="Q25" s="6"/>
      <c r="R25" s="6">
        <v>-2.5000000000000001E-2</v>
      </c>
      <c r="S25" s="6"/>
      <c r="T25" s="6">
        <v>8.3400000000000002E-2</v>
      </c>
      <c r="U25" s="1"/>
    </row>
    <row r="26" spans="1:21" s="5" customFormat="1" x14ac:dyDescent="0.3">
      <c r="A26" s="5" t="s">
        <v>21</v>
      </c>
      <c r="D26" s="7">
        <f>AVERAGE(D2:D25)</f>
        <v>0.27751000000000003</v>
      </c>
      <c r="E26" s="7">
        <f>AVERAGE(E2:E25)</f>
        <v>0.164275</v>
      </c>
      <c r="F26" s="7"/>
      <c r="G26" s="7"/>
      <c r="H26" s="7"/>
      <c r="I26" s="7">
        <f>AVERAGE(I2:I25)</f>
        <v>0.49426250000000005</v>
      </c>
      <c r="J26" s="7"/>
      <c r="K26" s="7">
        <f>AVERAGE(K2:K25)</f>
        <v>0.33115</v>
      </c>
      <c r="L26" s="7"/>
      <c r="M26" s="7"/>
      <c r="N26" s="7">
        <f>AVERAGE(N2:N25)</f>
        <v>0.32770000000000005</v>
      </c>
      <c r="O26" s="7"/>
      <c r="P26" s="7">
        <f>AVERAGE(P2:P25)</f>
        <v>0.45957499999999996</v>
      </c>
      <c r="Q26" s="7"/>
      <c r="R26" s="7">
        <f>AVERAGE(R2:R25)</f>
        <v>0.11532916666666666</v>
      </c>
      <c r="S26" s="7"/>
      <c r="T26" s="7">
        <f>AVERAGE(T2:T25)</f>
        <v>3.197916666666667E-2</v>
      </c>
    </row>
    <row r="27" spans="1:21" s="3" customFormat="1" ht="11.4" x14ac:dyDescent="0.2"/>
    <row r="28" spans="1:21" x14ac:dyDescent="0.3">
      <c r="A28" s="2" t="s">
        <v>19</v>
      </c>
      <c r="B28" s="2" t="s">
        <v>20</v>
      </c>
      <c r="C28" s="2"/>
      <c r="S28" t="s">
        <v>21</v>
      </c>
      <c r="T28" s="7">
        <f>AVERAGE(D26:T26)</f>
        <v>0.27522260416666666</v>
      </c>
    </row>
    <row r="29" spans="1:21" x14ac:dyDescent="0.3">
      <c r="S29" t="s">
        <v>22</v>
      </c>
      <c r="T29" s="7">
        <f>STDEV(D26:T26)</f>
        <v>0.1625220498388357</v>
      </c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N2O_IP</vt:lpstr>
      <vt:lpstr>N2O_DP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nurholis</dc:creator>
  <cp:keywords>Public</cp:keywords>
  <cp:lastModifiedBy>Chandra_Deshmukh</cp:lastModifiedBy>
  <dcterms:created xsi:type="dcterms:W3CDTF">2021-04-26T07:19:45Z</dcterms:created>
  <dcterms:modified xsi:type="dcterms:W3CDTF">2021-05-28T06:48:18Z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3d59c0a9-fc72-4d95-b22f-efecad432287</vt:lpwstr>
  </property>
  <property fmtid="{D5CDD505-2E9C-101B-9397-08002B2CF9AE}" pid="3" name="RGECLASSIFICATION">
    <vt:lpwstr>Public</vt:lpwstr>
  </property>
  <property fmtid="{D5CDD505-2E9C-101B-9397-08002B2CF9AE}" pid="4" name="ORIGCLASSIFIER">
    <vt:lpwstr>nurholis</vt:lpwstr>
  </property>
  <property fmtid="{D5CDD505-2E9C-101B-9397-08002B2CF9AE}" pid="5" name="RGERule">
    <vt:lpwstr/>
  </property>
</Properties>
</file>