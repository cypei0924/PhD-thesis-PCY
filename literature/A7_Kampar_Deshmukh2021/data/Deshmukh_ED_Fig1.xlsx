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1. Eddy Covariance Data\1. Data\GHG Paper\2nd_paper_review\Dataset\"/>
    </mc:Choice>
  </mc:AlternateContent>
  <bookViews>
    <workbookView xWindow="0" yWindow="0" windowWidth="11025" windowHeight="6075" activeTab="2"/>
  </bookViews>
  <sheets>
    <sheet name="Panel A" sheetId="4" r:id="rId1"/>
    <sheet name="Panel B" sheetId="6" r:id="rId2"/>
    <sheet name="Panel C" sheetId="20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0" l="1"/>
  <c r="J22" i="20" l="1"/>
  <c r="J33" i="20"/>
  <c r="J32" i="20"/>
  <c r="J31" i="20"/>
  <c r="H31" i="20"/>
  <c r="E31" i="20"/>
  <c r="J30" i="20"/>
  <c r="H30" i="20"/>
  <c r="E30" i="20"/>
  <c r="J29" i="20"/>
  <c r="H29" i="20"/>
  <c r="E29" i="20"/>
  <c r="J28" i="20"/>
  <c r="H28" i="20"/>
  <c r="E28" i="20"/>
  <c r="J27" i="20"/>
  <c r="H27" i="20"/>
  <c r="E27" i="20"/>
  <c r="J26" i="20"/>
  <c r="H26" i="20"/>
  <c r="E26" i="20"/>
  <c r="J25" i="20"/>
  <c r="H25" i="20"/>
  <c r="E25" i="20"/>
  <c r="J24" i="20"/>
  <c r="H24" i="20"/>
  <c r="E24" i="20"/>
  <c r="J23" i="20"/>
  <c r="H23" i="20"/>
  <c r="E23" i="20"/>
  <c r="H22" i="20"/>
  <c r="E22" i="20"/>
  <c r="J21" i="20"/>
  <c r="H21" i="20"/>
  <c r="E21" i="20"/>
  <c r="J20" i="20"/>
  <c r="H20" i="20"/>
  <c r="E20" i="20"/>
  <c r="J19" i="20"/>
  <c r="H19" i="20"/>
  <c r="E19" i="20"/>
  <c r="J18" i="20"/>
  <c r="H18" i="20"/>
  <c r="E18" i="20"/>
  <c r="J17" i="20"/>
  <c r="H17" i="20"/>
  <c r="E17" i="20"/>
  <c r="J16" i="20"/>
  <c r="H16" i="20"/>
  <c r="E16" i="20"/>
  <c r="J15" i="20"/>
  <c r="H15" i="20"/>
  <c r="E15" i="20"/>
  <c r="J14" i="20"/>
  <c r="H14" i="20"/>
  <c r="E14" i="20"/>
  <c r="J13" i="20"/>
  <c r="H13" i="20"/>
  <c r="E13" i="20"/>
  <c r="J12" i="20"/>
  <c r="H12" i="20"/>
  <c r="E12" i="20"/>
  <c r="J11" i="20"/>
  <c r="H11" i="20"/>
  <c r="E11" i="20"/>
  <c r="J10" i="20"/>
  <c r="H10" i="20"/>
  <c r="E10" i="20"/>
  <c r="J9" i="20"/>
  <c r="H9" i="20"/>
  <c r="J8" i="20"/>
  <c r="H8" i="20"/>
  <c r="E8" i="20"/>
  <c r="J7" i="20"/>
  <c r="H7" i="20"/>
  <c r="E7" i="20"/>
  <c r="J6" i="20"/>
  <c r="H6" i="20"/>
  <c r="E6" i="20"/>
  <c r="J5" i="20"/>
  <c r="H5" i="20"/>
  <c r="E5" i="20"/>
  <c r="J4" i="20"/>
  <c r="H4" i="20"/>
  <c r="E4" i="20"/>
  <c r="J3" i="20"/>
  <c r="H3" i="20"/>
  <c r="E3" i="20"/>
  <c r="J2" i="20"/>
  <c r="H2" i="20"/>
  <c r="E2" i="20"/>
  <c r="E33" i="20" l="1"/>
  <c r="E32" i="20"/>
  <c r="F20" i="20" l="1"/>
  <c r="F23" i="20"/>
  <c r="F31" i="20"/>
  <c r="F21" i="20"/>
  <c r="F11" i="20"/>
  <c r="F28" i="20"/>
  <c r="F26" i="20"/>
  <c r="F22" i="20"/>
  <c r="F3" i="20"/>
  <c r="F6" i="20"/>
  <c r="F27" i="20"/>
  <c r="F8" i="20"/>
  <c r="F4" i="20"/>
  <c r="F16" i="20"/>
  <c r="F13" i="20"/>
  <c r="F19" i="20"/>
  <c r="F14" i="20"/>
  <c r="F12" i="20"/>
  <c r="F17" i="20"/>
  <c r="F29" i="20"/>
  <c r="F10" i="20"/>
  <c r="F25" i="20"/>
  <c r="F15" i="20"/>
  <c r="F7" i="20"/>
  <c r="F30" i="20"/>
  <c r="F24" i="20"/>
  <c r="F18" i="20"/>
  <c r="F5" i="20"/>
</calcChain>
</file>

<file path=xl/sharedStrings.xml><?xml version="1.0" encoding="utf-8"?>
<sst xmlns="http://schemas.openxmlformats.org/spreadsheetml/2006/main" count="16" uniqueCount="15">
  <si>
    <t>Year</t>
  </si>
  <si>
    <t>Month</t>
  </si>
  <si>
    <t>SOI</t>
  </si>
  <si>
    <t>DMI</t>
  </si>
  <si>
    <t>Norm. Anomaly</t>
  </si>
  <si>
    <t>Longterm Average_mm</t>
  </si>
  <si>
    <t>Rainfall_mm</t>
  </si>
  <si>
    <t>Rain_IP_mm</t>
  </si>
  <si>
    <t>Rain_DP_mm</t>
  </si>
  <si>
    <t>Rain_Pekanbaru_mm</t>
  </si>
  <si>
    <t>July (monthly rainfall in mm)</t>
  </si>
  <si>
    <t>JAS (3 months rainfall in mm)</t>
  </si>
  <si>
    <t>August (monthly rainfall in mm)</t>
  </si>
  <si>
    <t>September (monthly rainfall in mm)</t>
  </si>
  <si>
    <t>Letter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</si>
</sst>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164" fontId="0" fillId="0" borderId="0" xfId="0" applyNumberFormat="1"/>
    <xf numFmtId="0" fontId="2" fillId="0" borderId="0" xfId="0" applyFont="1"/>
    <xf numFmtId="17" fontId="2" fillId="0" borderId="0" xfId="0" applyNumberFormat="1" applyFont="1"/>
    <xf numFmtId="164" fontId="2" fillId="0" borderId="0" xfId="0" applyNumberFormat="1" applyFont="1"/>
    <xf numFmtId="164" fontId="2" fillId="0" borderId="0" xfId="0" applyNumberFormat="1" applyFont="1" applyBorder="1"/>
    <xf numFmtId="164" fontId="2" fillId="0" borderId="0" xfId="0" applyNumberFormat="1" applyFont="1" applyAlignment="1"/>
    <xf numFmtId="164" fontId="3" fillId="0" borderId="0" xfId="2" applyNumberFormat="1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vertical="center"/>
    </xf>
    <xf numFmtId="14" fontId="3" fillId="0" borderId="0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vertical="center"/>
    </xf>
    <xf numFmtId="0" fontId="2" fillId="0" borderId="0" xfId="0" applyFont="1" applyBorder="1"/>
    <xf numFmtId="0" fontId="4" fillId="0" borderId="0" xfId="1" applyFont="1" applyFill="1" applyBorder="1" applyAlignment="1">
      <alignment horizontal="center" vertical="center"/>
    </xf>
    <xf numFmtId="1" fontId="4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Normal 2 2 2" xfId="1"/>
    <cellStyle name="Normal_09.Mon September 2006" xfId="2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>
      <pane ySplit="19" topLeftCell="A44" activePane="bottomLeft" state="frozen"/>
      <selection pane="bottomLeft" activeCell="A20" sqref="A20:XFD20"/>
    </sheetView>
  </sheetViews>
  <sheetFormatPr defaultRowHeight="15" x14ac:dyDescent="0.25"/>
  <cols>
    <col min="1" max="1" width="9.140625" style="2"/>
    <col min="2" max="2" width="14.42578125" style="2" bestFit="1" customWidth="1"/>
    <col min="3" max="3" width="18.140625" style="2" bestFit="1" customWidth="1"/>
    <col min="4" max="4" width="18.85546875" style="2" bestFit="1" customWidth="1"/>
  </cols>
  <sheetData>
    <row r="1" spans="1:4" x14ac:dyDescent="0.25">
      <c r="A1" s="15" t="s">
        <v>1</v>
      </c>
      <c r="B1" s="15" t="s">
        <v>7</v>
      </c>
      <c r="C1" s="15" t="s">
        <v>8</v>
      </c>
      <c r="D1" s="15" t="s">
        <v>9</v>
      </c>
    </row>
    <row r="2" spans="1:4" x14ac:dyDescent="0.25">
      <c r="A2" s="3">
        <v>42644</v>
      </c>
      <c r="B2" s="4"/>
      <c r="C2" s="4">
        <v>209.6</v>
      </c>
      <c r="D2" s="4">
        <v>147.4</v>
      </c>
    </row>
    <row r="3" spans="1:4" x14ac:dyDescent="0.25">
      <c r="A3" s="3">
        <v>42675</v>
      </c>
      <c r="B3" s="4"/>
      <c r="C3" s="4">
        <v>228.9</v>
      </c>
      <c r="D3" s="4">
        <v>514</v>
      </c>
    </row>
    <row r="4" spans="1:4" x14ac:dyDescent="0.25">
      <c r="A4" s="3">
        <v>42705</v>
      </c>
      <c r="B4" s="4"/>
      <c r="C4" s="4">
        <v>128</v>
      </c>
      <c r="D4" s="4">
        <v>177.9</v>
      </c>
    </row>
    <row r="5" spans="1:4" x14ac:dyDescent="0.25">
      <c r="A5" s="3">
        <v>42736</v>
      </c>
      <c r="B5" s="4"/>
      <c r="C5" s="4">
        <v>150.19999999999999</v>
      </c>
      <c r="D5" s="4">
        <v>336.2</v>
      </c>
    </row>
    <row r="6" spans="1:4" x14ac:dyDescent="0.25">
      <c r="A6" s="3">
        <v>42767</v>
      </c>
      <c r="B6" s="4"/>
      <c r="C6" s="4">
        <v>232.8</v>
      </c>
      <c r="D6" s="4">
        <v>302.5</v>
      </c>
    </row>
    <row r="7" spans="1:4" x14ac:dyDescent="0.25">
      <c r="A7" s="3">
        <v>42795</v>
      </c>
      <c r="B7" s="4"/>
      <c r="C7" s="4">
        <v>251</v>
      </c>
      <c r="D7" s="4">
        <v>424.1</v>
      </c>
    </row>
    <row r="8" spans="1:4" x14ac:dyDescent="0.25">
      <c r="A8" s="3">
        <v>42826</v>
      </c>
      <c r="B8" s="4"/>
      <c r="C8" s="4">
        <v>272.3</v>
      </c>
      <c r="D8" s="4">
        <v>386.2</v>
      </c>
    </row>
    <row r="9" spans="1:4" x14ac:dyDescent="0.25">
      <c r="A9" s="3">
        <v>42856</v>
      </c>
      <c r="B9" s="4"/>
      <c r="C9" s="4">
        <v>77.2</v>
      </c>
      <c r="D9" s="4">
        <v>375.4</v>
      </c>
    </row>
    <row r="10" spans="1:4" x14ac:dyDescent="0.25">
      <c r="A10" s="3">
        <v>42887</v>
      </c>
      <c r="B10" s="4">
        <v>170.98740000000001</v>
      </c>
      <c r="C10" s="4">
        <v>216.5</v>
      </c>
      <c r="D10" s="4">
        <v>323</v>
      </c>
    </row>
    <row r="11" spans="1:4" x14ac:dyDescent="0.25">
      <c r="A11" s="3">
        <v>42917</v>
      </c>
      <c r="B11" s="4">
        <v>83.115530000000007</v>
      </c>
      <c r="C11" s="4">
        <v>90.4</v>
      </c>
      <c r="D11" s="4">
        <v>119</v>
      </c>
    </row>
    <row r="12" spans="1:4" x14ac:dyDescent="0.25">
      <c r="A12" s="3">
        <v>42948</v>
      </c>
      <c r="B12" s="4">
        <v>142.40029999999999</v>
      </c>
      <c r="C12" s="4">
        <v>93.7</v>
      </c>
      <c r="D12" s="4">
        <v>148.30000000000001</v>
      </c>
    </row>
    <row r="13" spans="1:4" x14ac:dyDescent="0.25">
      <c r="A13" s="3">
        <v>42979</v>
      </c>
      <c r="B13" s="4">
        <v>259.64210000000003</v>
      </c>
      <c r="C13" s="4">
        <v>190.9</v>
      </c>
      <c r="D13" s="4">
        <v>28</v>
      </c>
    </row>
    <row r="14" spans="1:4" x14ac:dyDescent="0.25">
      <c r="A14" s="3">
        <v>43009</v>
      </c>
      <c r="B14" s="4">
        <v>105.8184</v>
      </c>
      <c r="C14" s="4">
        <v>71.400000000000006</v>
      </c>
      <c r="D14" s="4">
        <v>201.4</v>
      </c>
    </row>
    <row r="15" spans="1:4" x14ac:dyDescent="0.25">
      <c r="A15" s="3">
        <v>43040</v>
      </c>
      <c r="B15" s="4">
        <v>412.22969999999998</v>
      </c>
      <c r="C15" s="4">
        <v>397.9</v>
      </c>
      <c r="D15" s="4">
        <v>412.3</v>
      </c>
    </row>
    <row r="16" spans="1:4" x14ac:dyDescent="0.25">
      <c r="A16" s="3">
        <v>43070</v>
      </c>
      <c r="B16" s="4">
        <v>155.06800000000001</v>
      </c>
      <c r="C16" s="4">
        <v>115.3</v>
      </c>
      <c r="D16" s="4">
        <v>237.8</v>
      </c>
    </row>
    <row r="17" spans="1:4" x14ac:dyDescent="0.25">
      <c r="A17" s="3">
        <v>43101</v>
      </c>
      <c r="B17" s="4">
        <v>126.5479</v>
      </c>
      <c r="C17" s="4">
        <v>190.9</v>
      </c>
      <c r="D17" s="4">
        <v>169.6</v>
      </c>
    </row>
    <row r="18" spans="1:4" x14ac:dyDescent="0.25">
      <c r="A18" s="3">
        <v>43132</v>
      </c>
      <c r="B18" s="4">
        <v>142.3706</v>
      </c>
      <c r="C18" s="4">
        <v>31</v>
      </c>
      <c r="D18" s="4">
        <v>118.5</v>
      </c>
    </row>
    <row r="19" spans="1:4" x14ac:dyDescent="0.25">
      <c r="A19" s="3">
        <v>43160</v>
      </c>
      <c r="B19" s="4">
        <v>209.0026</v>
      </c>
      <c r="C19" s="4">
        <v>160.9</v>
      </c>
      <c r="D19" s="4">
        <v>243.2</v>
      </c>
    </row>
    <row r="20" spans="1:4" x14ac:dyDescent="0.25">
      <c r="A20" s="3">
        <v>43191</v>
      </c>
      <c r="B20" s="4">
        <v>158.92850000000001</v>
      </c>
      <c r="C20" s="4">
        <v>223.8</v>
      </c>
      <c r="D20" s="4">
        <v>161.1</v>
      </c>
    </row>
    <row r="21" spans="1:4" x14ac:dyDescent="0.25">
      <c r="A21" s="3">
        <v>43221</v>
      </c>
      <c r="B21" s="4">
        <v>53.420389999999998</v>
      </c>
      <c r="C21" s="4">
        <v>106.5</v>
      </c>
      <c r="D21" s="4">
        <v>217.4</v>
      </c>
    </row>
    <row r="22" spans="1:4" x14ac:dyDescent="0.25">
      <c r="A22" s="3">
        <v>43252</v>
      </c>
      <c r="B22" s="4">
        <v>52.780909999999999</v>
      </c>
      <c r="C22" s="4">
        <v>143.4</v>
      </c>
      <c r="D22" s="4">
        <v>291.3</v>
      </c>
    </row>
    <row r="23" spans="1:4" x14ac:dyDescent="0.25">
      <c r="A23" s="3">
        <v>43282</v>
      </c>
      <c r="B23" s="4">
        <v>166.8854</v>
      </c>
      <c r="C23" s="4">
        <v>191.2</v>
      </c>
      <c r="D23" s="4">
        <v>125.3</v>
      </c>
    </row>
    <row r="24" spans="1:4" x14ac:dyDescent="0.25">
      <c r="A24" s="3">
        <v>43313</v>
      </c>
      <c r="B24" s="4">
        <v>66.627830000000003</v>
      </c>
      <c r="C24" s="4">
        <v>152.1</v>
      </c>
      <c r="D24" s="4">
        <v>107.7</v>
      </c>
    </row>
    <row r="25" spans="1:4" x14ac:dyDescent="0.25">
      <c r="A25" s="3">
        <v>43344</v>
      </c>
      <c r="B25" s="4">
        <v>46.424599999999998</v>
      </c>
      <c r="C25" s="4">
        <v>52.1</v>
      </c>
      <c r="D25" s="4">
        <v>111.1</v>
      </c>
    </row>
    <row r="26" spans="1:4" x14ac:dyDescent="0.25">
      <c r="A26" s="3">
        <v>43374</v>
      </c>
      <c r="B26" s="4">
        <v>141.0883</v>
      </c>
      <c r="C26" s="4">
        <v>228.6</v>
      </c>
      <c r="D26" s="4">
        <v>292.39999999999998</v>
      </c>
    </row>
    <row r="27" spans="1:4" x14ac:dyDescent="0.25">
      <c r="A27" s="3">
        <v>43405</v>
      </c>
      <c r="B27" s="4">
        <v>450.50099999999998</v>
      </c>
      <c r="C27" s="4">
        <v>205.6</v>
      </c>
      <c r="D27" s="4">
        <v>335.5</v>
      </c>
    </row>
    <row r="28" spans="1:4" x14ac:dyDescent="0.25">
      <c r="A28" s="3">
        <v>43435</v>
      </c>
      <c r="B28" s="4">
        <v>299.25470000000001</v>
      </c>
      <c r="C28" s="4">
        <v>104.2</v>
      </c>
      <c r="D28" s="4">
        <v>525.6</v>
      </c>
    </row>
    <row r="29" spans="1:4" x14ac:dyDescent="0.25">
      <c r="A29" s="3">
        <v>43466</v>
      </c>
      <c r="B29" s="4">
        <v>156.18709999999999</v>
      </c>
      <c r="C29" s="4">
        <v>94.2</v>
      </c>
      <c r="D29" s="4">
        <v>185.8</v>
      </c>
    </row>
    <row r="30" spans="1:4" x14ac:dyDescent="0.25">
      <c r="A30" s="3">
        <v>43497</v>
      </c>
      <c r="B30" s="4">
        <v>15.807119999999999</v>
      </c>
      <c r="C30" s="4">
        <v>72.3</v>
      </c>
      <c r="D30" s="4">
        <v>105.2</v>
      </c>
    </row>
    <row r="31" spans="1:4" x14ac:dyDescent="0.25">
      <c r="A31" s="3">
        <v>43525</v>
      </c>
      <c r="B31" s="4">
        <v>29.310030000000001</v>
      </c>
      <c r="C31" s="4">
        <v>11.6</v>
      </c>
      <c r="D31" s="4">
        <v>113.4</v>
      </c>
    </row>
    <row r="32" spans="1:4" x14ac:dyDescent="0.25">
      <c r="A32" s="3">
        <v>43556</v>
      </c>
      <c r="B32" s="4">
        <v>254.88220000000001</v>
      </c>
      <c r="C32" s="4">
        <v>171</v>
      </c>
      <c r="D32" s="4">
        <v>245.5</v>
      </c>
    </row>
    <row r="33" spans="1:4" x14ac:dyDescent="0.25">
      <c r="A33" s="3">
        <v>43586</v>
      </c>
      <c r="B33" s="4">
        <v>76.245310000000003</v>
      </c>
      <c r="C33" s="4">
        <v>145.6</v>
      </c>
      <c r="D33" s="4">
        <v>109.6</v>
      </c>
    </row>
    <row r="34" spans="1:4" x14ac:dyDescent="0.25">
      <c r="A34" s="3">
        <v>43617</v>
      </c>
      <c r="B34" s="4">
        <v>250.76599999999999</v>
      </c>
      <c r="C34" s="4">
        <v>144.69999999999999</v>
      </c>
      <c r="D34" s="4">
        <v>275.39999999999998</v>
      </c>
    </row>
    <row r="35" spans="1:4" x14ac:dyDescent="0.25">
      <c r="A35" s="3">
        <v>43647</v>
      </c>
      <c r="B35" s="4">
        <v>26.891909999999999</v>
      </c>
      <c r="C35" s="4">
        <v>46.6</v>
      </c>
      <c r="D35" s="4">
        <v>74.3</v>
      </c>
    </row>
    <row r="36" spans="1:4" x14ac:dyDescent="0.25">
      <c r="A36" s="3">
        <v>43678</v>
      </c>
      <c r="B36" s="4">
        <v>16.225239999999999</v>
      </c>
      <c r="C36" s="4">
        <v>39.549999999999997</v>
      </c>
      <c r="D36" s="4">
        <v>46</v>
      </c>
    </row>
    <row r="37" spans="1:4" x14ac:dyDescent="0.25">
      <c r="A37" s="3">
        <v>43709</v>
      </c>
      <c r="B37" s="4">
        <v>45.910679999999999</v>
      </c>
      <c r="C37" s="4">
        <v>60.7</v>
      </c>
      <c r="D37" s="4">
        <v>53.5</v>
      </c>
    </row>
    <row r="38" spans="1:4" x14ac:dyDescent="0.25">
      <c r="A38" s="3">
        <v>43739</v>
      </c>
      <c r="B38" s="4">
        <v>111.6867</v>
      </c>
      <c r="C38" s="4">
        <v>125</v>
      </c>
      <c r="D38" s="4">
        <v>203.5</v>
      </c>
    </row>
    <row r="39" spans="1:4" x14ac:dyDescent="0.25">
      <c r="A39" s="3">
        <v>43770</v>
      </c>
      <c r="B39" s="4">
        <v>151.91</v>
      </c>
      <c r="C39" s="4">
        <v>166.3</v>
      </c>
      <c r="D39" s="4">
        <v>313.3</v>
      </c>
    </row>
    <row r="40" spans="1:4" x14ac:dyDescent="0.25">
      <c r="A40" s="3">
        <v>43800</v>
      </c>
      <c r="B40" s="4">
        <v>162.30940000000001</v>
      </c>
      <c r="C40" s="4">
        <v>117</v>
      </c>
      <c r="D40" s="4">
        <v>169.4</v>
      </c>
    </row>
    <row r="41" spans="1:4" x14ac:dyDescent="0.25">
      <c r="A41" s="3">
        <v>43831</v>
      </c>
      <c r="B41" s="4">
        <v>79.3</v>
      </c>
      <c r="C41" s="4">
        <v>126.2</v>
      </c>
      <c r="D41" s="5">
        <v>121.8</v>
      </c>
    </row>
    <row r="42" spans="1:4" x14ac:dyDescent="0.25">
      <c r="A42" s="3">
        <v>43862</v>
      </c>
      <c r="B42" s="4">
        <v>81.496759999999995</v>
      </c>
      <c r="C42" s="4">
        <v>125</v>
      </c>
      <c r="D42" s="5">
        <v>30.2</v>
      </c>
    </row>
    <row r="43" spans="1:4" x14ac:dyDescent="0.25">
      <c r="A43" s="3">
        <v>43891</v>
      </c>
      <c r="B43" s="4">
        <v>159.82650000000001</v>
      </c>
      <c r="C43" s="4">
        <v>135.19999999999999</v>
      </c>
      <c r="D43" s="5">
        <v>96.7</v>
      </c>
    </row>
    <row r="44" spans="1:4" x14ac:dyDescent="0.25">
      <c r="A44" s="3">
        <v>43922</v>
      </c>
      <c r="B44" s="4">
        <v>220.3964</v>
      </c>
      <c r="C44" s="4">
        <v>99.9</v>
      </c>
      <c r="D44" s="5">
        <v>351.6</v>
      </c>
    </row>
    <row r="45" spans="1:4" x14ac:dyDescent="0.25">
      <c r="A45" s="3">
        <v>43952</v>
      </c>
      <c r="B45" s="4">
        <v>189.35079999999999</v>
      </c>
      <c r="C45" s="4">
        <v>262.64999999999998</v>
      </c>
      <c r="D45" s="5">
        <v>246</v>
      </c>
    </row>
    <row r="46" spans="1:4" x14ac:dyDescent="0.25">
      <c r="A46" s="3">
        <v>43983</v>
      </c>
      <c r="B46" s="4"/>
      <c r="C46" s="4">
        <v>151.9</v>
      </c>
      <c r="D46" s="5">
        <v>196.8</v>
      </c>
    </row>
    <row r="47" spans="1:4" x14ac:dyDescent="0.25">
      <c r="A47" s="3">
        <v>44013</v>
      </c>
      <c r="B47" s="4"/>
      <c r="C47" s="4">
        <v>195</v>
      </c>
      <c r="D47" s="5">
        <v>109.2</v>
      </c>
    </row>
    <row r="48" spans="1:4" x14ac:dyDescent="0.25">
      <c r="A48" s="3">
        <v>44044</v>
      </c>
      <c r="B48" s="4"/>
      <c r="C48" s="4">
        <v>95.2</v>
      </c>
      <c r="D48" s="5">
        <v>200.29999999999899</v>
      </c>
    </row>
    <row r="49" spans="1:4" x14ac:dyDescent="0.25">
      <c r="A49" s="3">
        <v>44075</v>
      </c>
      <c r="B49" s="4"/>
      <c r="C49" s="4">
        <v>163.69999999999999</v>
      </c>
      <c r="D49" s="5">
        <v>113.1</v>
      </c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pane ySplit="20" topLeftCell="A57" activePane="bottomLeft" state="frozen"/>
      <selection pane="bottomLeft" activeCell="A21" sqref="A21:XFD21"/>
    </sheetView>
  </sheetViews>
  <sheetFormatPr defaultRowHeight="15" x14ac:dyDescent="0.25"/>
  <cols>
    <col min="1" max="1" width="9.140625" style="2"/>
    <col min="2" max="2" width="13.140625" style="2" bestFit="1" customWidth="1"/>
    <col min="3" max="3" width="23.42578125" style="2" bestFit="1" customWidth="1"/>
  </cols>
  <sheetData>
    <row r="1" spans="1:4" x14ac:dyDescent="0.25">
      <c r="A1" s="15" t="s">
        <v>1</v>
      </c>
      <c r="B1" s="15" t="s">
        <v>6</v>
      </c>
      <c r="C1" s="15" t="s">
        <v>5</v>
      </c>
    </row>
    <row r="2" spans="1:4" x14ac:dyDescent="0.25">
      <c r="A2" s="3">
        <v>42370</v>
      </c>
      <c r="B2" s="6">
        <v>293.5</v>
      </c>
      <c r="C2" s="4">
        <v>210.07241379310344</v>
      </c>
      <c r="D2" s="1"/>
    </row>
    <row r="3" spans="1:4" x14ac:dyDescent="0.25">
      <c r="A3" s="3">
        <v>42401</v>
      </c>
      <c r="B3" s="6">
        <v>192.8</v>
      </c>
      <c r="C3" s="4">
        <v>149.05172413793105</v>
      </c>
      <c r="D3" s="1"/>
    </row>
    <row r="4" spans="1:4" x14ac:dyDescent="0.25">
      <c r="A4" s="3">
        <v>42430</v>
      </c>
      <c r="B4" s="6">
        <v>177.9</v>
      </c>
      <c r="C4" s="4">
        <v>282.88965517241377</v>
      </c>
      <c r="D4" s="1"/>
    </row>
    <row r="5" spans="1:4" x14ac:dyDescent="0.25">
      <c r="A5" s="3">
        <v>42461</v>
      </c>
      <c r="B5" s="6">
        <v>309.8</v>
      </c>
      <c r="C5" s="4">
        <v>288.9379310344828</v>
      </c>
      <c r="D5" s="1"/>
    </row>
    <row r="6" spans="1:4" x14ac:dyDescent="0.25">
      <c r="A6" s="3">
        <v>42491</v>
      </c>
      <c r="B6" s="6">
        <v>243.29999999999899</v>
      </c>
      <c r="C6" s="4">
        <v>211.15999999999994</v>
      </c>
      <c r="D6" s="1"/>
    </row>
    <row r="7" spans="1:4" x14ac:dyDescent="0.25">
      <c r="A7" s="3">
        <v>42522</v>
      </c>
      <c r="B7" s="6">
        <v>105.1</v>
      </c>
      <c r="C7" s="4">
        <v>162.8533333333333</v>
      </c>
      <c r="D7" s="1"/>
    </row>
    <row r="8" spans="1:4" x14ac:dyDescent="0.25">
      <c r="A8" s="3">
        <v>42552</v>
      </c>
      <c r="B8" s="6">
        <v>272.7</v>
      </c>
      <c r="C8" s="4">
        <v>154.26333333333335</v>
      </c>
      <c r="D8" s="1"/>
    </row>
    <row r="9" spans="1:4" x14ac:dyDescent="0.25">
      <c r="A9" s="3">
        <v>42583</v>
      </c>
      <c r="B9" s="6">
        <v>43.7</v>
      </c>
      <c r="C9" s="4">
        <v>162.61666666666665</v>
      </c>
      <c r="D9" s="1"/>
    </row>
    <row r="10" spans="1:4" x14ac:dyDescent="0.25">
      <c r="A10" s="3">
        <v>42614</v>
      </c>
      <c r="B10" s="6">
        <v>274</v>
      </c>
      <c r="C10" s="4">
        <v>204.66896551724139</v>
      </c>
      <c r="D10" s="1"/>
    </row>
    <row r="11" spans="1:4" x14ac:dyDescent="0.25">
      <c r="A11" s="3">
        <v>42644</v>
      </c>
      <c r="B11" s="6">
        <v>147.4</v>
      </c>
      <c r="C11" s="4">
        <v>262.25172413793098</v>
      </c>
      <c r="D11" s="1"/>
    </row>
    <row r="12" spans="1:4" x14ac:dyDescent="0.25">
      <c r="A12" s="3">
        <v>42675</v>
      </c>
      <c r="B12" s="6">
        <v>514</v>
      </c>
      <c r="C12" s="4">
        <v>330.61724137931026</v>
      </c>
      <c r="D12" s="1"/>
    </row>
    <row r="13" spans="1:4" x14ac:dyDescent="0.25">
      <c r="A13" s="3">
        <v>42705</v>
      </c>
      <c r="B13" s="6">
        <v>177.9</v>
      </c>
      <c r="C13" s="4">
        <v>300.24642857142857</v>
      </c>
      <c r="D13" s="1"/>
    </row>
    <row r="14" spans="1:4" x14ac:dyDescent="0.25">
      <c r="A14" s="3">
        <v>42736</v>
      </c>
      <c r="B14" s="6">
        <v>336.2</v>
      </c>
      <c r="C14" s="4">
        <v>210.07241379310344</v>
      </c>
      <c r="D14" s="1"/>
    </row>
    <row r="15" spans="1:4" x14ac:dyDescent="0.25">
      <c r="A15" s="3">
        <v>42767</v>
      </c>
      <c r="B15" s="6">
        <v>302.5</v>
      </c>
      <c r="C15" s="4">
        <v>149.05172413793105</v>
      </c>
      <c r="D15" s="1"/>
    </row>
    <row r="16" spans="1:4" x14ac:dyDescent="0.25">
      <c r="A16" s="3">
        <v>42795</v>
      </c>
      <c r="B16" s="6">
        <v>424.1</v>
      </c>
      <c r="C16" s="4">
        <v>282.88965517241377</v>
      </c>
      <c r="D16" s="1"/>
    </row>
    <row r="17" spans="1:4" x14ac:dyDescent="0.25">
      <c r="A17" s="3">
        <v>42826</v>
      </c>
      <c r="B17" s="6">
        <v>386.2</v>
      </c>
      <c r="C17" s="4">
        <v>288.9379310344828</v>
      </c>
      <c r="D17" s="1"/>
    </row>
    <row r="18" spans="1:4" x14ac:dyDescent="0.25">
      <c r="A18" s="3">
        <v>42856</v>
      </c>
      <c r="B18" s="6">
        <v>375.4</v>
      </c>
      <c r="C18" s="4">
        <v>211.15999999999994</v>
      </c>
      <c r="D18" s="1"/>
    </row>
    <row r="19" spans="1:4" x14ac:dyDescent="0.25">
      <c r="A19" s="3">
        <v>42887</v>
      </c>
      <c r="B19" s="6">
        <v>323</v>
      </c>
      <c r="C19" s="4">
        <v>162.8533333333333</v>
      </c>
      <c r="D19" s="1"/>
    </row>
    <row r="20" spans="1:4" x14ac:dyDescent="0.25">
      <c r="A20" s="3">
        <v>42917</v>
      </c>
      <c r="B20" s="6">
        <v>119</v>
      </c>
      <c r="C20" s="4">
        <v>154.26333333333335</v>
      </c>
      <c r="D20" s="1"/>
    </row>
    <row r="21" spans="1:4" x14ac:dyDescent="0.25">
      <c r="A21" s="3">
        <v>42948</v>
      </c>
      <c r="B21" s="6">
        <v>148.30000000000001</v>
      </c>
      <c r="C21" s="4">
        <v>162.61666666666665</v>
      </c>
      <c r="D21" s="1"/>
    </row>
    <row r="22" spans="1:4" x14ac:dyDescent="0.25">
      <c r="A22" s="3">
        <v>42979</v>
      </c>
      <c r="B22" s="6">
        <v>28</v>
      </c>
      <c r="C22" s="4">
        <v>204.66896551724139</v>
      </c>
      <c r="D22" s="1"/>
    </row>
    <row r="23" spans="1:4" x14ac:dyDescent="0.25">
      <c r="A23" s="3">
        <v>43009</v>
      </c>
      <c r="B23" s="6">
        <v>201.4</v>
      </c>
      <c r="C23" s="4">
        <v>262.25172413793098</v>
      </c>
      <c r="D23" s="1"/>
    </row>
    <row r="24" spans="1:4" x14ac:dyDescent="0.25">
      <c r="A24" s="3">
        <v>43040</v>
      </c>
      <c r="B24" s="6">
        <v>412.3</v>
      </c>
      <c r="C24" s="4">
        <v>330.61724137931026</v>
      </c>
      <c r="D24" s="1"/>
    </row>
    <row r="25" spans="1:4" x14ac:dyDescent="0.25">
      <c r="A25" s="3">
        <v>43070</v>
      </c>
      <c r="B25" s="6">
        <v>237.8</v>
      </c>
      <c r="C25" s="4">
        <v>300.24642857142857</v>
      </c>
      <c r="D25" s="1"/>
    </row>
    <row r="26" spans="1:4" x14ac:dyDescent="0.25">
      <c r="A26" s="3">
        <v>43101</v>
      </c>
      <c r="B26" s="6">
        <v>169.6</v>
      </c>
      <c r="C26" s="4">
        <v>210.07241379310344</v>
      </c>
      <c r="D26" s="1"/>
    </row>
    <row r="27" spans="1:4" x14ac:dyDescent="0.25">
      <c r="A27" s="3">
        <v>43132</v>
      </c>
      <c r="B27" s="6">
        <v>118.5</v>
      </c>
      <c r="C27" s="4">
        <v>149.05172413793105</v>
      </c>
      <c r="D27" s="1"/>
    </row>
    <row r="28" spans="1:4" x14ac:dyDescent="0.25">
      <c r="A28" s="3">
        <v>43160</v>
      </c>
      <c r="B28" s="6">
        <v>243.2</v>
      </c>
      <c r="C28" s="4">
        <v>282.88965517241377</v>
      </c>
      <c r="D28" s="1"/>
    </row>
    <row r="29" spans="1:4" x14ac:dyDescent="0.25">
      <c r="A29" s="3">
        <v>43191</v>
      </c>
      <c r="B29" s="6">
        <v>161.1</v>
      </c>
      <c r="C29" s="4">
        <v>288.9379310344828</v>
      </c>
      <c r="D29" s="1"/>
    </row>
    <row r="30" spans="1:4" x14ac:dyDescent="0.25">
      <c r="A30" s="3">
        <v>43221</v>
      </c>
      <c r="B30" s="6">
        <v>217.4</v>
      </c>
      <c r="C30" s="4">
        <v>211.15999999999994</v>
      </c>
      <c r="D30" s="1"/>
    </row>
    <row r="31" spans="1:4" x14ac:dyDescent="0.25">
      <c r="A31" s="3">
        <v>43252</v>
      </c>
      <c r="B31" s="6">
        <v>291.3</v>
      </c>
      <c r="C31" s="4">
        <v>162.8533333333333</v>
      </c>
      <c r="D31" s="1"/>
    </row>
    <row r="32" spans="1:4" x14ac:dyDescent="0.25">
      <c r="A32" s="3">
        <v>43282</v>
      </c>
      <c r="B32" s="6">
        <v>125.3</v>
      </c>
      <c r="C32" s="4">
        <v>154.26333333333335</v>
      </c>
      <c r="D32" s="1"/>
    </row>
    <row r="33" spans="1:4" x14ac:dyDescent="0.25">
      <c r="A33" s="3">
        <v>43313</v>
      </c>
      <c r="B33" s="6">
        <v>107.7</v>
      </c>
      <c r="C33" s="4">
        <v>162.61666666666665</v>
      </c>
      <c r="D33" s="1"/>
    </row>
    <row r="34" spans="1:4" x14ac:dyDescent="0.25">
      <c r="A34" s="3">
        <v>43344</v>
      </c>
      <c r="B34" s="6">
        <v>111.1</v>
      </c>
      <c r="C34" s="4">
        <v>204.66896551724139</v>
      </c>
      <c r="D34" s="1"/>
    </row>
    <row r="35" spans="1:4" x14ac:dyDescent="0.25">
      <c r="A35" s="3">
        <v>43374</v>
      </c>
      <c r="B35" s="6">
        <v>292.39999999999998</v>
      </c>
      <c r="C35" s="4">
        <v>262.25172413793098</v>
      </c>
      <c r="D35" s="1"/>
    </row>
    <row r="36" spans="1:4" x14ac:dyDescent="0.25">
      <c r="A36" s="3">
        <v>43405</v>
      </c>
      <c r="B36" s="6">
        <v>335.5</v>
      </c>
      <c r="C36" s="4">
        <v>330.61724137931026</v>
      </c>
      <c r="D36" s="1"/>
    </row>
    <row r="37" spans="1:4" x14ac:dyDescent="0.25">
      <c r="A37" s="3">
        <v>43435</v>
      </c>
      <c r="B37" s="6">
        <v>525.6</v>
      </c>
      <c r="C37" s="4">
        <v>300.24642857142857</v>
      </c>
      <c r="D37" s="1"/>
    </row>
    <row r="38" spans="1:4" x14ac:dyDescent="0.25">
      <c r="A38" s="3">
        <v>43466</v>
      </c>
      <c r="B38" s="7">
        <v>185.8</v>
      </c>
      <c r="C38" s="4">
        <v>210.07241379310344</v>
      </c>
      <c r="D38" s="1"/>
    </row>
    <row r="39" spans="1:4" x14ac:dyDescent="0.25">
      <c r="A39" s="3">
        <v>43497</v>
      </c>
      <c r="B39" s="7">
        <v>105.2</v>
      </c>
      <c r="C39" s="4">
        <v>149.05172413793105</v>
      </c>
      <c r="D39" s="1"/>
    </row>
    <row r="40" spans="1:4" x14ac:dyDescent="0.25">
      <c r="A40" s="3">
        <v>43525</v>
      </c>
      <c r="B40" s="7">
        <v>113.4</v>
      </c>
      <c r="C40" s="4">
        <v>282.88965517241377</v>
      </c>
      <c r="D40" s="1"/>
    </row>
    <row r="41" spans="1:4" x14ac:dyDescent="0.25">
      <c r="A41" s="3">
        <v>43556</v>
      </c>
      <c r="B41" s="7">
        <v>245.5</v>
      </c>
      <c r="C41" s="4">
        <v>288.9379310344828</v>
      </c>
      <c r="D41" s="1"/>
    </row>
    <row r="42" spans="1:4" x14ac:dyDescent="0.25">
      <c r="A42" s="3">
        <v>43586</v>
      </c>
      <c r="B42" s="7">
        <v>109.6</v>
      </c>
      <c r="C42" s="4">
        <v>211.15999999999994</v>
      </c>
      <c r="D42" s="1"/>
    </row>
    <row r="43" spans="1:4" x14ac:dyDescent="0.25">
      <c r="A43" s="3">
        <v>43617</v>
      </c>
      <c r="B43" s="7">
        <v>275.39999999999998</v>
      </c>
      <c r="C43" s="4">
        <v>162.8533333333333</v>
      </c>
      <c r="D43" s="1"/>
    </row>
    <row r="44" spans="1:4" x14ac:dyDescent="0.25">
      <c r="A44" s="3">
        <v>43647</v>
      </c>
      <c r="B44" s="7">
        <v>74.3</v>
      </c>
      <c r="C44" s="4">
        <v>154.26333333333335</v>
      </c>
      <c r="D44" s="1"/>
    </row>
    <row r="45" spans="1:4" x14ac:dyDescent="0.25">
      <c r="A45" s="3">
        <v>43678</v>
      </c>
      <c r="B45" s="7">
        <v>46</v>
      </c>
      <c r="C45" s="4">
        <v>162.61666666666665</v>
      </c>
      <c r="D45" s="1"/>
    </row>
    <row r="46" spans="1:4" x14ac:dyDescent="0.25">
      <c r="A46" s="3">
        <v>43709</v>
      </c>
      <c r="B46" s="7">
        <v>53.5</v>
      </c>
      <c r="C46" s="4">
        <v>204.66896551724139</v>
      </c>
      <c r="D46" s="1"/>
    </row>
    <row r="47" spans="1:4" x14ac:dyDescent="0.25">
      <c r="A47" s="3">
        <v>43739</v>
      </c>
      <c r="B47" s="8">
        <v>203.5</v>
      </c>
      <c r="C47" s="4">
        <v>262.25172413793098</v>
      </c>
      <c r="D47" s="1"/>
    </row>
    <row r="48" spans="1:4" x14ac:dyDescent="0.25">
      <c r="A48" s="3">
        <v>43770</v>
      </c>
      <c r="B48" s="8">
        <v>313.3</v>
      </c>
      <c r="C48" s="4">
        <v>330.61724137931026</v>
      </c>
      <c r="D48" s="1"/>
    </row>
    <row r="49" spans="1:4" x14ac:dyDescent="0.25">
      <c r="A49" s="3">
        <v>43800</v>
      </c>
      <c r="B49" s="8">
        <v>169.4</v>
      </c>
      <c r="C49" s="4">
        <v>300.24642857142857</v>
      </c>
      <c r="D49" s="1"/>
    </row>
    <row r="50" spans="1:4" x14ac:dyDescent="0.25">
      <c r="A50" s="3">
        <v>43831</v>
      </c>
      <c r="B50" s="5">
        <v>121.8</v>
      </c>
      <c r="C50" s="4">
        <v>210.07241379310344</v>
      </c>
      <c r="D50" s="1"/>
    </row>
    <row r="51" spans="1:4" x14ac:dyDescent="0.25">
      <c r="A51" s="3">
        <v>43862</v>
      </c>
      <c r="B51" s="5">
        <v>30.2</v>
      </c>
      <c r="C51" s="4">
        <v>149.05172413793105</v>
      </c>
      <c r="D51" s="1"/>
    </row>
    <row r="52" spans="1:4" x14ac:dyDescent="0.25">
      <c r="A52" s="3">
        <v>43891</v>
      </c>
      <c r="B52" s="5">
        <v>96.7</v>
      </c>
      <c r="C52" s="4">
        <v>282.88965517241377</v>
      </c>
      <c r="D52" s="1"/>
    </row>
    <row r="53" spans="1:4" x14ac:dyDescent="0.25">
      <c r="A53" s="3">
        <v>43922</v>
      </c>
      <c r="B53" s="5">
        <v>351.6</v>
      </c>
      <c r="C53" s="4">
        <v>288.9379310344828</v>
      </c>
      <c r="D53" s="1"/>
    </row>
    <row r="54" spans="1:4" x14ac:dyDescent="0.25">
      <c r="A54" s="3">
        <v>43952</v>
      </c>
      <c r="B54" s="5">
        <v>246</v>
      </c>
      <c r="C54" s="4">
        <v>211.15999999999994</v>
      </c>
      <c r="D54" s="1"/>
    </row>
    <row r="55" spans="1:4" x14ac:dyDescent="0.25">
      <c r="A55" s="3">
        <v>43983</v>
      </c>
      <c r="B55" s="5">
        <v>196.8</v>
      </c>
      <c r="C55" s="4">
        <v>162.8533333333333</v>
      </c>
      <c r="D55" s="1"/>
    </row>
    <row r="56" spans="1:4" x14ac:dyDescent="0.25">
      <c r="A56" s="3">
        <v>44013</v>
      </c>
      <c r="B56" s="5">
        <v>109.2</v>
      </c>
      <c r="C56" s="4">
        <v>154.26333333333335</v>
      </c>
      <c r="D56" s="1"/>
    </row>
    <row r="57" spans="1:4" x14ac:dyDescent="0.25">
      <c r="A57" s="3">
        <v>44044</v>
      </c>
      <c r="B57" s="5">
        <v>200.29999999999899</v>
      </c>
      <c r="C57" s="4">
        <v>162.61666666666665</v>
      </c>
      <c r="D57" s="1"/>
    </row>
    <row r="58" spans="1:4" x14ac:dyDescent="0.25">
      <c r="A58" s="3">
        <v>44075</v>
      </c>
      <c r="B58" s="5">
        <v>113.1</v>
      </c>
      <c r="C58" s="4">
        <v>204.66896551724139</v>
      </c>
      <c r="D58" s="1"/>
    </row>
    <row r="59" spans="1:4" x14ac:dyDescent="0.25">
      <c r="A59" s="3">
        <v>44105</v>
      </c>
      <c r="B59" s="5">
        <v>195.3</v>
      </c>
      <c r="C59" s="4">
        <v>262.25172413793098</v>
      </c>
      <c r="D59" s="1"/>
    </row>
    <row r="60" spans="1:4" x14ac:dyDescent="0.25">
      <c r="A60" s="3">
        <v>44136</v>
      </c>
      <c r="B60" s="5">
        <v>359.3</v>
      </c>
      <c r="C60" s="4">
        <v>330.61724137931026</v>
      </c>
      <c r="D60" s="1"/>
    </row>
    <row r="61" spans="1:4" x14ac:dyDescent="0.25">
      <c r="A61" s="3">
        <v>44166</v>
      </c>
      <c r="B61" s="5">
        <v>103.8</v>
      </c>
      <c r="C61" s="4">
        <v>300.24642857142857</v>
      </c>
      <c r="D61" s="1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zoomScaleNormal="100" workbookViewId="0">
      <selection activeCell="H38" sqref="H38"/>
    </sheetView>
  </sheetViews>
  <sheetFormatPr defaultRowHeight="15" x14ac:dyDescent="0.25"/>
  <cols>
    <col min="1" max="1" width="7.85546875" style="2" bestFit="1" customWidth="1"/>
    <col min="2" max="2" width="24.140625" style="2" hidden="1" customWidth="1"/>
    <col min="3" max="3" width="26.7109375" style="2" hidden="1" customWidth="1"/>
    <col min="4" max="4" width="30.140625" style="2" hidden="1" customWidth="1"/>
    <col min="5" max="5" width="25.28515625" style="2" hidden="1" customWidth="1"/>
    <col min="6" max="6" width="13.42578125" style="2" bestFit="1" customWidth="1"/>
    <col min="7" max="7" width="9.140625" style="2" customWidth="1"/>
    <col min="8" max="8" width="10.42578125" style="17" bestFit="1" customWidth="1"/>
    <col min="9" max="9" width="9" style="2" customWidth="1"/>
    <col min="10" max="10" width="9.140625" style="2"/>
  </cols>
  <sheetData>
    <row r="1" spans="1:10" x14ac:dyDescent="0.25">
      <c r="A1" s="12" t="s">
        <v>0</v>
      </c>
      <c r="B1" s="13" t="s">
        <v>10</v>
      </c>
      <c r="C1" s="13" t="s">
        <v>12</v>
      </c>
      <c r="D1" s="13" t="s">
        <v>13</v>
      </c>
      <c r="E1" s="13" t="s">
        <v>11</v>
      </c>
      <c r="F1" s="13" t="s">
        <v>4</v>
      </c>
      <c r="G1" s="14" t="s">
        <v>2</v>
      </c>
      <c r="H1" s="15" t="s">
        <v>14</v>
      </c>
      <c r="I1" s="14" t="s">
        <v>3</v>
      </c>
    </row>
    <row r="2" spans="1:10" x14ac:dyDescent="0.25">
      <c r="A2" s="9">
        <v>33239</v>
      </c>
      <c r="B2" s="10">
        <v>76</v>
      </c>
      <c r="C2" s="10">
        <v>91</v>
      </c>
      <c r="D2" s="10">
        <v>58</v>
      </c>
      <c r="E2" s="4">
        <f t="shared" ref="E2:E31" si="0">SUM(B2:D2)</f>
        <v>225</v>
      </c>
      <c r="F2" s="4">
        <f>(E2-$E$32)/$E$33</f>
        <v>-1.259665730221069</v>
      </c>
      <c r="G2" s="4">
        <v>-0.6333333333333333</v>
      </c>
      <c r="H2" s="16" t="str">
        <f t="shared" ref="H2:H31" si="1">IF(G2&lt;-0.5,"E",IF(G2&gt;0.5,"L",""))</f>
        <v>E</v>
      </c>
      <c r="I2" s="4">
        <v>0.247</v>
      </c>
      <c r="J2" s="4" t="str">
        <f t="shared" ref="J2:J33" si="2">IF(I2&lt;-0.4,"-",IF(I2&gt;0.4,"+",""))</f>
        <v/>
      </c>
    </row>
    <row r="3" spans="1:10" x14ac:dyDescent="0.25">
      <c r="A3" s="9">
        <v>33604</v>
      </c>
      <c r="B3" s="10">
        <v>245</v>
      </c>
      <c r="C3" s="10">
        <v>115</v>
      </c>
      <c r="D3" s="10">
        <v>342</v>
      </c>
      <c r="E3" s="4">
        <f t="shared" si="0"/>
        <v>702</v>
      </c>
      <c r="F3" s="4">
        <f t="shared" ref="F3:F8" si="3">(E3-$E$32)/$E$33</f>
        <v>0.81899009434209047</v>
      </c>
      <c r="G3" s="4">
        <v>-3.3333333333333319E-2</v>
      </c>
      <c r="H3" s="16" t="str">
        <f t="shared" si="1"/>
        <v/>
      </c>
      <c r="I3" s="4">
        <v>-0.58833333333333337</v>
      </c>
      <c r="J3" s="4" t="str">
        <f t="shared" si="2"/>
        <v>-</v>
      </c>
    </row>
    <row r="4" spans="1:10" x14ac:dyDescent="0.25">
      <c r="A4" s="9">
        <v>33970</v>
      </c>
      <c r="B4" s="10">
        <v>157</v>
      </c>
      <c r="C4" s="10">
        <v>121</v>
      </c>
      <c r="D4" s="10">
        <v>241</v>
      </c>
      <c r="E4" s="4">
        <f t="shared" si="0"/>
        <v>519</v>
      </c>
      <c r="F4" s="4">
        <f t="shared" si="3"/>
        <v>2.1518362905909812E-2</v>
      </c>
      <c r="G4" s="4">
        <v>-0.80000000000000016</v>
      </c>
      <c r="H4" s="16" t="str">
        <f t="shared" si="1"/>
        <v>E</v>
      </c>
      <c r="I4" s="4">
        <v>-0.104</v>
      </c>
      <c r="J4" s="4" t="str">
        <f t="shared" si="2"/>
        <v/>
      </c>
    </row>
    <row r="5" spans="1:10" x14ac:dyDescent="0.25">
      <c r="A5" s="9">
        <v>34335</v>
      </c>
      <c r="B5" s="10">
        <v>12</v>
      </c>
      <c r="C5" s="10">
        <v>52</v>
      </c>
      <c r="D5" s="10">
        <v>114</v>
      </c>
      <c r="E5" s="4">
        <f t="shared" si="0"/>
        <v>178</v>
      </c>
      <c r="F5" s="4">
        <f t="shared" si="3"/>
        <v>-1.4644808743604159</v>
      </c>
      <c r="G5" s="4">
        <v>-1.3666666666666665</v>
      </c>
      <c r="H5" s="16" t="str">
        <f t="shared" si="1"/>
        <v>E</v>
      </c>
      <c r="I5" s="4">
        <v>0.73733333333333329</v>
      </c>
      <c r="J5" s="4" t="str">
        <f t="shared" si="2"/>
        <v>+</v>
      </c>
    </row>
    <row r="6" spans="1:10" x14ac:dyDescent="0.25">
      <c r="A6" s="9">
        <v>34700</v>
      </c>
      <c r="B6" s="10">
        <v>159</v>
      </c>
      <c r="C6" s="10">
        <v>184</v>
      </c>
      <c r="D6" s="10">
        <v>256</v>
      </c>
      <c r="E6" s="4">
        <f t="shared" si="0"/>
        <v>599</v>
      </c>
      <c r="F6" s="4">
        <f t="shared" si="3"/>
        <v>0.37013988484522375</v>
      </c>
      <c r="G6" s="4">
        <v>0.33333333333333331</v>
      </c>
      <c r="H6" s="16" t="str">
        <f t="shared" si="1"/>
        <v/>
      </c>
      <c r="I6" s="4">
        <v>-5.9666666666666666E-2</v>
      </c>
      <c r="J6" s="4" t="str">
        <f t="shared" si="2"/>
        <v/>
      </c>
    </row>
    <row r="7" spans="1:10" x14ac:dyDescent="0.25">
      <c r="A7" s="9">
        <v>35065</v>
      </c>
      <c r="B7" s="10">
        <v>186</v>
      </c>
      <c r="C7" s="10">
        <v>247</v>
      </c>
      <c r="D7" s="10">
        <v>255</v>
      </c>
      <c r="E7" s="4">
        <f t="shared" si="0"/>
        <v>688</v>
      </c>
      <c r="F7" s="4">
        <f t="shared" si="3"/>
        <v>0.75798132800271056</v>
      </c>
      <c r="G7" s="4">
        <v>0.66666666666666663</v>
      </c>
      <c r="H7" s="16" t="str">
        <f t="shared" si="1"/>
        <v>L</v>
      </c>
      <c r="I7" s="4">
        <v>-0.57333333333333325</v>
      </c>
      <c r="J7" s="4" t="str">
        <f t="shared" si="2"/>
        <v>-</v>
      </c>
    </row>
    <row r="8" spans="1:10" x14ac:dyDescent="0.25">
      <c r="A8" s="9">
        <v>35431</v>
      </c>
      <c r="B8" s="10">
        <v>34</v>
      </c>
      <c r="C8" s="10">
        <v>96</v>
      </c>
      <c r="D8" s="10">
        <v>55</v>
      </c>
      <c r="E8" s="4">
        <f t="shared" si="0"/>
        <v>185</v>
      </c>
      <c r="F8" s="4">
        <f t="shared" si="3"/>
        <v>-1.433976491190726</v>
      </c>
      <c r="G8" s="4">
        <v>-1.2</v>
      </c>
      <c r="H8" s="16" t="str">
        <f t="shared" si="1"/>
        <v>E</v>
      </c>
      <c r="I8" s="4">
        <v>0.72233333333333327</v>
      </c>
      <c r="J8" s="4" t="str">
        <f t="shared" si="2"/>
        <v>+</v>
      </c>
    </row>
    <row r="9" spans="1:10" x14ac:dyDescent="0.25">
      <c r="A9" s="9">
        <v>35796</v>
      </c>
      <c r="B9" s="10">
        <v>298</v>
      </c>
      <c r="C9" s="10">
        <v>236</v>
      </c>
      <c r="D9" s="10"/>
      <c r="E9" s="10"/>
      <c r="F9" s="10"/>
      <c r="G9" s="4">
        <v>1.1333333333333333</v>
      </c>
      <c r="H9" s="16" t="str">
        <f t="shared" si="1"/>
        <v>L</v>
      </c>
      <c r="I9" s="4">
        <v>-0.38166666666666665</v>
      </c>
      <c r="J9" s="4" t="str">
        <f t="shared" si="2"/>
        <v/>
      </c>
    </row>
    <row r="10" spans="1:10" x14ac:dyDescent="0.25">
      <c r="A10" s="9">
        <v>36161</v>
      </c>
      <c r="B10" s="10">
        <v>106</v>
      </c>
      <c r="C10" s="10">
        <v>204</v>
      </c>
      <c r="D10" s="10">
        <v>255</v>
      </c>
      <c r="E10" s="4">
        <f t="shared" si="0"/>
        <v>565</v>
      </c>
      <c r="F10" s="4">
        <f t="shared" ref="F10:F31" si="4">(E10-$E$32)/$E$33</f>
        <v>0.22197573802101533</v>
      </c>
      <c r="G10" s="4">
        <v>0.26666666666666666</v>
      </c>
      <c r="H10" s="16" t="str">
        <f t="shared" si="1"/>
        <v/>
      </c>
      <c r="I10" s="4">
        <v>0.13299999999999998</v>
      </c>
      <c r="J10" s="4" t="str">
        <f t="shared" si="2"/>
        <v/>
      </c>
    </row>
    <row r="11" spans="1:10" x14ac:dyDescent="0.25">
      <c r="A11" s="9">
        <v>36526</v>
      </c>
      <c r="B11" s="10">
        <v>88</v>
      </c>
      <c r="C11" s="10">
        <v>62</v>
      </c>
      <c r="D11" s="10">
        <v>180</v>
      </c>
      <c r="E11" s="4">
        <f t="shared" si="0"/>
        <v>330</v>
      </c>
      <c r="F11" s="4">
        <f t="shared" si="4"/>
        <v>-0.80209998267571936</v>
      </c>
      <c r="G11" s="4">
        <v>0.46666666666666662</v>
      </c>
      <c r="H11" s="16" t="str">
        <f t="shared" si="1"/>
        <v/>
      </c>
      <c r="I11" s="4">
        <v>0.14233333333333334</v>
      </c>
      <c r="J11" s="4" t="str">
        <f t="shared" si="2"/>
        <v/>
      </c>
    </row>
    <row r="12" spans="1:10" x14ac:dyDescent="0.25">
      <c r="A12" s="9">
        <v>36892</v>
      </c>
      <c r="B12" s="6">
        <v>96</v>
      </c>
      <c r="C12" s="6">
        <v>137</v>
      </c>
      <c r="D12" s="6">
        <v>115</v>
      </c>
      <c r="E12" s="4">
        <f t="shared" si="0"/>
        <v>348</v>
      </c>
      <c r="F12" s="4">
        <f t="shared" si="4"/>
        <v>-0.72366014023937375</v>
      </c>
      <c r="G12" s="4">
        <v>-0.13333333333333336</v>
      </c>
      <c r="H12" s="16" t="str">
        <f t="shared" si="1"/>
        <v/>
      </c>
      <c r="I12" s="4">
        <v>-0.11633333333333333</v>
      </c>
      <c r="J12" s="4" t="str">
        <f t="shared" si="2"/>
        <v/>
      </c>
    </row>
    <row r="13" spans="1:10" x14ac:dyDescent="0.25">
      <c r="A13" s="9">
        <v>37257</v>
      </c>
      <c r="B13" s="6">
        <v>160</v>
      </c>
      <c r="C13" s="6">
        <v>134</v>
      </c>
      <c r="D13" s="6">
        <v>284</v>
      </c>
      <c r="E13" s="4">
        <f t="shared" si="0"/>
        <v>578</v>
      </c>
      <c r="F13" s="4">
        <f t="shared" si="4"/>
        <v>0.27862673533615384</v>
      </c>
      <c r="G13" s="4">
        <v>-0.70000000000000007</v>
      </c>
      <c r="H13" s="16" t="str">
        <f t="shared" si="1"/>
        <v>E</v>
      </c>
      <c r="I13" s="4">
        <v>4.4000000000000004E-2</v>
      </c>
      <c r="J13" s="4" t="str">
        <f t="shared" si="2"/>
        <v/>
      </c>
    </row>
    <row r="14" spans="1:10" x14ac:dyDescent="0.25">
      <c r="A14" s="9">
        <v>37622</v>
      </c>
      <c r="B14" s="6">
        <v>146</v>
      </c>
      <c r="C14" s="6">
        <v>136</v>
      </c>
      <c r="D14" s="6">
        <v>357</v>
      </c>
      <c r="E14" s="4">
        <f t="shared" si="0"/>
        <v>639</v>
      </c>
      <c r="F14" s="4">
        <f t="shared" si="4"/>
        <v>0.54445064581488067</v>
      </c>
      <c r="G14" s="4">
        <v>0.10000000000000002</v>
      </c>
      <c r="H14" s="16" t="str">
        <f t="shared" si="1"/>
        <v/>
      </c>
      <c r="I14" s="4">
        <v>0.16433333333333333</v>
      </c>
      <c r="J14" s="4" t="str">
        <f t="shared" si="2"/>
        <v/>
      </c>
    </row>
    <row r="15" spans="1:10" x14ac:dyDescent="0.25">
      <c r="A15" s="9">
        <v>37987</v>
      </c>
      <c r="B15" s="6">
        <v>184</v>
      </c>
      <c r="C15" s="6">
        <v>68</v>
      </c>
      <c r="D15" s="6">
        <v>211</v>
      </c>
      <c r="E15" s="4">
        <f t="shared" si="0"/>
        <v>463</v>
      </c>
      <c r="F15" s="4">
        <f t="shared" si="4"/>
        <v>-0.22251670245160995</v>
      </c>
      <c r="G15" s="4">
        <v>-0.3666666666666667</v>
      </c>
      <c r="H15" s="16" t="str">
        <f t="shared" si="1"/>
        <v/>
      </c>
      <c r="I15" s="4">
        <v>-7.4666666666666659E-2</v>
      </c>
      <c r="J15" s="4" t="str">
        <f t="shared" si="2"/>
        <v/>
      </c>
    </row>
    <row r="16" spans="1:10" x14ac:dyDescent="0.25">
      <c r="A16" s="9">
        <v>38353</v>
      </c>
      <c r="B16" s="6">
        <v>437</v>
      </c>
      <c r="C16" s="6">
        <v>434</v>
      </c>
      <c r="D16" s="6">
        <v>212</v>
      </c>
      <c r="E16" s="4">
        <f t="shared" si="0"/>
        <v>1083</v>
      </c>
      <c r="F16" s="4">
        <f t="shared" si="4"/>
        <v>2.479300092578073</v>
      </c>
      <c r="G16" s="4">
        <v>0.10000000000000002</v>
      </c>
      <c r="H16" s="16" t="str">
        <f t="shared" si="1"/>
        <v/>
      </c>
      <c r="I16" s="4">
        <v>-0.316</v>
      </c>
      <c r="J16" s="4" t="str">
        <f t="shared" si="2"/>
        <v/>
      </c>
    </row>
    <row r="17" spans="1:10" x14ac:dyDescent="0.25">
      <c r="A17" s="9">
        <v>38718</v>
      </c>
      <c r="B17" s="6">
        <v>134</v>
      </c>
      <c r="C17" s="6">
        <v>160</v>
      </c>
      <c r="D17" s="6">
        <v>63</v>
      </c>
      <c r="E17" s="4">
        <f t="shared" si="0"/>
        <v>357</v>
      </c>
      <c r="F17" s="4">
        <f t="shared" si="4"/>
        <v>-0.68444021902120089</v>
      </c>
      <c r="G17" s="4">
        <v>-0.73333333333333339</v>
      </c>
      <c r="H17" s="16" t="str">
        <f t="shared" si="1"/>
        <v>E</v>
      </c>
      <c r="I17" s="4">
        <v>0.33733333333333332</v>
      </c>
      <c r="J17" s="4" t="str">
        <f t="shared" si="2"/>
        <v/>
      </c>
    </row>
    <row r="18" spans="1:10" x14ac:dyDescent="0.25">
      <c r="A18" s="9">
        <v>39083</v>
      </c>
      <c r="B18" s="6">
        <v>183</v>
      </c>
      <c r="C18" s="6">
        <v>210</v>
      </c>
      <c r="D18" s="6">
        <v>372</v>
      </c>
      <c r="E18" s="4">
        <f t="shared" si="0"/>
        <v>765</v>
      </c>
      <c r="F18" s="4">
        <f t="shared" si="4"/>
        <v>1.0935295428693002</v>
      </c>
      <c r="G18" s="4">
        <v>0.10000000000000002</v>
      </c>
      <c r="H18" s="16" t="str">
        <f t="shared" si="1"/>
        <v/>
      </c>
      <c r="I18" s="4">
        <v>0.27699999999999997</v>
      </c>
      <c r="J18" s="4" t="str">
        <f t="shared" si="2"/>
        <v/>
      </c>
    </row>
    <row r="19" spans="1:10" x14ac:dyDescent="0.25">
      <c r="A19" s="9">
        <v>39448</v>
      </c>
      <c r="B19" s="6">
        <v>196</v>
      </c>
      <c r="C19" s="6">
        <v>254</v>
      </c>
      <c r="D19" s="6">
        <v>439</v>
      </c>
      <c r="E19" s="4">
        <f t="shared" si="0"/>
        <v>889</v>
      </c>
      <c r="F19" s="4">
        <f t="shared" si="4"/>
        <v>1.6338929018752368</v>
      </c>
      <c r="G19" s="4">
        <v>0.83333333333333337</v>
      </c>
      <c r="H19" s="16" t="str">
        <f t="shared" si="1"/>
        <v>L</v>
      </c>
      <c r="I19" s="4">
        <v>0.25733333333333336</v>
      </c>
      <c r="J19" s="4" t="str">
        <f t="shared" si="2"/>
        <v/>
      </c>
    </row>
    <row r="20" spans="1:10" x14ac:dyDescent="0.25">
      <c r="A20" s="9">
        <v>39814</v>
      </c>
      <c r="B20" s="6">
        <v>75</v>
      </c>
      <c r="C20" s="6">
        <v>279</v>
      </c>
      <c r="D20" s="6">
        <v>242</v>
      </c>
      <c r="E20" s="4">
        <f t="shared" si="0"/>
        <v>596</v>
      </c>
      <c r="F20" s="4">
        <f t="shared" si="4"/>
        <v>0.3570665777724995</v>
      </c>
      <c r="G20" s="4">
        <v>9.9999999999999992E-2</v>
      </c>
      <c r="H20" s="16" t="str">
        <f t="shared" si="1"/>
        <v/>
      </c>
      <c r="I20" s="4">
        <v>-2.7999999999999997E-2</v>
      </c>
      <c r="J20" s="4" t="str">
        <f t="shared" si="2"/>
        <v/>
      </c>
    </row>
    <row r="21" spans="1:10" x14ac:dyDescent="0.25">
      <c r="A21" s="9">
        <v>40179</v>
      </c>
      <c r="B21" s="6">
        <v>322</v>
      </c>
      <c r="C21" s="6">
        <v>192</v>
      </c>
      <c r="D21" s="6">
        <v>463</v>
      </c>
      <c r="E21" s="4">
        <f t="shared" si="0"/>
        <v>977</v>
      </c>
      <c r="F21" s="4">
        <f t="shared" si="4"/>
        <v>2.0173765760084823</v>
      </c>
      <c r="G21" s="4">
        <v>1.9333333333333336</v>
      </c>
      <c r="H21" s="16" t="str">
        <f t="shared" si="1"/>
        <v>L</v>
      </c>
      <c r="I21" s="4">
        <v>-5.0000000000000044E-3</v>
      </c>
      <c r="J21" s="4" t="str">
        <f t="shared" si="2"/>
        <v/>
      </c>
    </row>
    <row r="22" spans="1:10" x14ac:dyDescent="0.25">
      <c r="A22" s="9">
        <v>40544</v>
      </c>
      <c r="B22" s="6">
        <v>26</v>
      </c>
      <c r="C22" s="6">
        <v>230</v>
      </c>
      <c r="D22" s="6">
        <v>304</v>
      </c>
      <c r="E22" s="4">
        <f t="shared" si="0"/>
        <v>560</v>
      </c>
      <c r="F22" s="4">
        <f t="shared" si="4"/>
        <v>0.20018689289980821</v>
      </c>
      <c r="G22" s="4">
        <v>0.79999999999999993</v>
      </c>
      <c r="H22" s="16" t="str">
        <f t="shared" si="1"/>
        <v>L</v>
      </c>
      <c r="I22" s="4">
        <v>0.36133333333333334</v>
      </c>
      <c r="J22" s="4" t="str">
        <f t="shared" si="2"/>
        <v/>
      </c>
    </row>
    <row r="23" spans="1:10" x14ac:dyDescent="0.25">
      <c r="A23" s="9">
        <v>40909</v>
      </c>
      <c r="B23" s="6">
        <v>269.7</v>
      </c>
      <c r="C23" s="6">
        <v>97</v>
      </c>
      <c r="D23" s="6">
        <v>185.8</v>
      </c>
      <c r="E23" s="4">
        <f t="shared" si="0"/>
        <v>552.5</v>
      </c>
      <c r="F23" s="4">
        <f t="shared" si="4"/>
        <v>0.16750362521799753</v>
      </c>
      <c r="G23" s="4">
        <v>0</v>
      </c>
      <c r="H23" s="16" t="str">
        <f t="shared" si="1"/>
        <v/>
      </c>
      <c r="I23" s="4">
        <v>0.65533333333333343</v>
      </c>
      <c r="J23" s="4" t="str">
        <f t="shared" si="2"/>
        <v>+</v>
      </c>
    </row>
    <row r="24" spans="1:10" x14ac:dyDescent="0.25">
      <c r="A24" s="9">
        <v>41275</v>
      </c>
      <c r="B24" s="6">
        <v>133.9</v>
      </c>
      <c r="C24" s="6">
        <v>186.2</v>
      </c>
      <c r="D24" s="6">
        <v>150.5</v>
      </c>
      <c r="E24" s="4">
        <f t="shared" si="0"/>
        <v>470.6</v>
      </c>
      <c r="F24" s="4">
        <f t="shared" si="4"/>
        <v>-0.18939765786737503</v>
      </c>
      <c r="G24" s="4">
        <v>0.43333333333333335</v>
      </c>
      <c r="H24" s="16" t="str">
        <f t="shared" si="1"/>
        <v/>
      </c>
      <c r="I24" s="4">
        <v>-0.123</v>
      </c>
      <c r="J24" s="4" t="str">
        <f t="shared" si="2"/>
        <v/>
      </c>
    </row>
    <row r="25" spans="1:10" x14ac:dyDescent="0.25">
      <c r="A25" s="9">
        <v>41640</v>
      </c>
      <c r="B25" s="6">
        <v>190.3</v>
      </c>
      <c r="C25" s="6">
        <v>107.2</v>
      </c>
      <c r="D25" s="6">
        <v>141.4</v>
      </c>
      <c r="E25" s="4">
        <f t="shared" si="0"/>
        <v>438.9</v>
      </c>
      <c r="F25" s="4">
        <f t="shared" si="4"/>
        <v>-0.32753893593582839</v>
      </c>
      <c r="G25" s="4">
        <v>-0.53333333333333333</v>
      </c>
      <c r="H25" s="16" t="str">
        <f t="shared" si="1"/>
        <v>E</v>
      </c>
      <c r="I25" s="4">
        <v>-0.18833333333333335</v>
      </c>
      <c r="J25" s="4" t="str">
        <f t="shared" si="2"/>
        <v/>
      </c>
    </row>
    <row r="26" spans="1:10" x14ac:dyDescent="0.25">
      <c r="A26" s="9">
        <v>42005</v>
      </c>
      <c r="B26" s="6">
        <v>13.5</v>
      </c>
      <c r="C26" s="6">
        <v>300.10000000000002</v>
      </c>
      <c r="D26" s="6">
        <v>60</v>
      </c>
      <c r="E26" s="4">
        <f t="shared" si="0"/>
        <v>373.6</v>
      </c>
      <c r="F26" s="4">
        <f t="shared" si="4"/>
        <v>-0.61210125321879316</v>
      </c>
      <c r="G26" s="4">
        <v>-1.3666666666666665</v>
      </c>
      <c r="H26" s="16" t="str">
        <f t="shared" si="1"/>
        <v>E</v>
      </c>
      <c r="I26" s="4">
        <v>0.46733333333333338</v>
      </c>
      <c r="J26" s="4" t="str">
        <f t="shared" si="2"/>
        <v>+</v>
      </c>
    </row>
    <row r="27" spans="1:10" x14ac:dyDescent="0.25">
      <c r="A27" s="9">
        <v>42370</v>
      </c>
      <c r="B27" s="6">
        <v>272.7</v>
      </c>
      <c r="C27" s="6">
        <v>43.7</v>
      </c>
      <c r="D27" s="6">
        <v>274</v>
      </c>
      <c r="E27" s="4">
        <f t="shared" si="0"/>
        <v>590.4</v>
      </c>
      <c r="F27" s="4">
        <f t="shared" si="4"/>
        <v>0.33266307123674743</v>
      </c>
      <c r="G27" s="4">
        <v>0.76666666666666661</v>
      </c>
      <c r="H27" s="16" t="str">
        <f t="shared" si="1"/>
        <v>L</v>
      </c>
      <c r="I27" s="4">
        <v>-0.44133333333333336</v>
      </c>
      <c r="J27" s="4" t="str">
        <f t="shared" si="2"/>
        <v>-</v>
      </c>
    </row>
    <row r="28" spans="1:10" x14ac:dyDescent="0.25">
      <c r="A28" s="9">
        <v>42736</v>
      </c>
      <c r="B28" s="6">
        <v>119</v>
      </c>
      <c r="C28" s="6">
        <v>148.30000000000001</v>
      </c>
      <c r="D28" s="6">
        <v>28</v>
      </c>
      <c r="E28" s="4">
        <f t="shared" si="0"/>
        <v>295.3</v>
      </c>
      <c r="F28" s="4">
        <f t="shared" si="4"/>
        <v>-0.95331456781689672</v>
      </c>
      <c r="G28" s="4">
        <v>0.6333333333333333</v>
      </c>
      <c r="H28" s="16" t="str">
        <f t="shared" si="1"/>
        <v>L</v>
      </c>
      <c r="I28" s="4">
        <v>0.40599999999999997</v>
      </c>
      <c r="J28" s="4" t="str">
        <f t="shared" si="2"/>
        <v>+</v>
      </c>
    </row>
    <row r="29" spans="1:10" x14ac:dyDescent="0.25">
      <c r="A29" s="9">
        <v>43101</v>
      </c>
      <c r="B29" s="6">
        <v>125.3</v>
      </c>
      <c r="C29" s="6">
        <v>107.7</v>
      </c>
      <c r="D29" s="6">
        <v>111.1</v>
      </c>
      <c r="E29" s="4">
        <f t="shared" si="0"/>
        <v>344.1</v>
      </c>
      <c r="F29" s="4">
        <f t="shared" si="4"/>
        <v>-0.74065543943391521</v>
      </c>
      <c r="G29" s="4">
        <v>-0.33333333333333331</v>
      </c>
      <c r="H29" s="16" t="str">
        <f t="shared" si="1"/>
        <v/>
      </c>
      <c r="I29" s="4">
        <v>0.36466666666666664</v>
      </c>
      <c r="J29" s="4" t="str">
        <f t="shared" si="2"/>
        <v/>
      </c>
    </row>
    <row r="30" spans="1:10" x14ac:dyDescent="0.25">
      <c r="A30" s="9">
        <v>43466</v>
      </c>
      <c r="B30" s="7">
        <v>74.3</v>
      </c>
      <c r="C30" s="7">
        <v>46</v>
      </c>
      <c r="D30" s="8">
        <v>53.5</v>
      </c>
      <c r="E30" s="4">
        <f t="shared" si="0"/>
        <v>173.8</v>
      </c>
      <c r="F30" s="4">
        <f t="shared" si="4"/>
        <v>-1.4827835042622297</v>
      </c>
      <c r="G30" s="4">
        <v>-0.56666666666666665</v>
      </c>
      <c r="H30" s="16" t="str">
        <f t="shared" si="1"/>
        <v>E</v>
      </c>
      <c r="I30" s="4">
        <v>0.7466666666666667</v>
      </c>
      <c r="J30" s="4" t="str">
        <f t="shared" si="2"/>
        <v>+</v>
      </c>
    </row>
    <row r="31" spans="1:10" x14ac:dyDescent="0.25">
      <c r="A31" s="9">
        <v>43831</v>
      </c>
      <c r="B31" s="11">
        <v>109.2</v>
      </c>
      <c r="C31" s="11">
        <v>200.29999999999899</v>
      </c>
      <c r="D31" s="11">
        <v>113.1</v>
      </c>
      <c r="E31" s="4">
        <f t="shared" si="0"/>
        <v>422.599999999999</v>
      </c>
      <c r="F31" s="4">
        <f t="shared" si="4"/>
        <v>-0.39857057103096782</v>
      </c>
      <c r="G31" s="4">
        <v>0.79999999999999993</v>
      </c>
      <c r="H31" s="16" t="str">
        <f t="shared" si="1"/>
        <v>L</v>
      </c>
      <c r="I31" s="4">
        <v>8.7666666666666657E-2</v>
      </c>
      <c r="J31" s="4" t="str">
        <f t="shared" si="2"/>
        <v/>
      </c>
    </row>
    <row r="32" spans="1:10" x14ac:dyDescent="0.25">
      <c r="B32" s="5"/>
      <c r="C32" s="5"/>
      <c r="D32" s="5"/>
      <c r="E32" s="4">
        <f>AVERAGE(E2:E31)</f>
        <v>514.06206896551714</v>
      </c>
      <c r="F32" s="4"/>
      <c r="H32" s="16"/>
      <c r="J32" s="4" t="str">
        <f t="shared" si="2"/>
        <v/>
      </c>
    </row>
    <row r="33" spans="2:10" x14ac:dyDescent="0.25">
      <c r="B33" s="5"/>
      <c r="C33" s="5"/>
      <c r="D33" s="5"/>
      <c r="E33" s="4">
        <f>STDEV(E2:E31)</f>
        <v>229.47521872710414</v>
      </c>
      <c r="F33" s="4"/>
      <c r="H33" s="16"/>
      <c r="J33" s="4" t="str">
        <f t="shared" si="2"/>
        <v/>
      </c>
    </row>
  </sheetData>
  <conditionalFormatting sqref="G2:G31">
    <cfRule type="cellIs" dxfId="3" priority="3" operator="lessThan">
      <formula>-0.5</formula>
    </cfRule>
    <cfRule type="cellIs" dxfId="2" priority="4" operator="greaterThan">
      <formula>0.5</formula>
    </cfRule>
  </conditionalFormatting>
  <conditionalFormatting sqref="I2:I31">
    <cfRule type="cellIs" dxfId="1" priority="1" operator="lessThan">
      <formula>-0.4</formula>
    </cfRule>
    <cfRule type="cellIs" dxfId="0" priority="2" operator="greaterThan">
      <formula>0.4</formula>
    </cfRule>
  </conditionalFormatting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 A</vt:lpstr>
      <vt:lpstr>Panel B</vt:lpstr>
      <vt:lpstr>Panel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Adibtya_Asyhari</dc:creator>
  <cp:keywords>Public</cp:keywords>
  <cp:lastModifiedBy>Ari_Susanto</cp:lastModifiedBy>
  <dcterms:created xsi:type="dcterms:W3CDTF">2021-02-13T03:16:14Z</dcterms:created>
  <dcterms:modified xsi:type="dcterms:W3CDTF">2021-05-27T07:05:43Z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c17dbe01-a460-4be6-a8e3-66ec85a99396</vt:lpwstr>
  </property>
  <property fmtid="{D5CDD505-2E9C-101B-9397-08002B2CF9AE}" pid="3" name="RGECLASSIFICATION">
    <vt:lpwstr>Public</vt:lpwstr>
  </property>
  <property fmtid="{D5CDD505-2E9C-101B-9397-08002B2CF9AE}" pid="4" name="ORIGCLASSIFIER">
    <vt:lpwstr>Adibtya_Asyhari</vt:lpwstr>
  </property>
  <property fmtid="{D5CDD505-2E9C-101B-9397-08002B2CF9AE}" pid="5" name="RGERule">
    <vt:lpwstr/>
  </property>
</Properties>
</file>