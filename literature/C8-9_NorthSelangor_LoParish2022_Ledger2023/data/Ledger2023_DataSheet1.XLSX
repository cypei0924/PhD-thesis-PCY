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https://hkuhk-my.sharepoint.com/personal/mledger_hku_hk/Documents/Nottingham/PhD/Writing/PhD_papers/2_SO_peat_condition/"/>
    </mc:Choice>
  </mc:AlternateContent>
  <xr:revisionPtr revIDLastSave="333" documentId="8_{B51C3A58-6849-45FF-8AED-0CA6320505D1}" xr6:coauthVersionLast="47" xr6:coauthVersionMax="47" xr10:uidLastSave="{27AB7C51-37FB-724D-B862-ECB2A46F0C3D}"/>
  <bookViews>
    <workbookView xWindow="0" yWindow="740" windowWidth="14620" windowHeight="16400" xr2:uid="{026F86B5-3826-4610-9FBC-585A4938A4CE}"/>
  </bookViews>
  <sheets>
    <sheet name="Data_description" sheetId="5" r:id="rId1"/>
    <sheet name="Jul18Jan20cm_withnotes" sheetId="2" r:id="rId2"/>
    <sheet name="Jul18Jan20_m_tidy" sheetId="3" r:id="rId3"/>
    <sheet name="Surface_oscillation_magnitude" sheetId="4" r:id="rId4"/>
    <sheet name="Bulk_density" sheetId="6" r:id="rId5"/>
    <sheet name="RockEval_parameters" sheetId="7" r:id="rId6"/>
    <sheet name="Automated_datasets" sheetId="8" r:id="rId7"/>
  </sheets>
  <externalReferences>
    <externalReference r:id="rId8"/>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3" i="8" l="1"/>
  <c r="F413" i="8"/>
  <c r="G412" i="8"/>
  <c r="F412" i="8"/>
  <c r="G411" i="8"/>
  <c r="F411" i="8"/>
  <c r="G410" i="8"/>
  <c r="F410" i="8"/>
  <c r="G409" i="8"/>
  <c r="F409" i="8"/>
  <c r="G408" i="8"/>
  <c r="F408" i="8"/>
  <c r="G407" i="8"/>
  <c r="F407" i="8"/>
  <c r="G406" i="8"/>
  <c r="F406" i="8"/>
  <c r="G405" i="8"/>
  <c r="F405" i="8"/>
  <c r="G404" i="8"/>
  <c r="F404" i="8"/>
  <c r="G403" i="8"/>
  <c r="F403" i="8"/>
  <c r="G402" i="8"/>
  <c r="F402" i="8"/>
  <c r="G401" i="8"/>
  <c r="F401" i="8"/>
  <c r="G400" i="8"/>
  <c r="F400" i="8"/>
  <c r="G399" i="8"/>
  <c r="F399" i="8"/>
  <c r="G398" i="8"/>
  <c r="F398" i="8"/>
  <c r="G397" i="8"/>
  <c r="F397" i="8"/>
  <c r="G396" i="8"/>
  <c r="F396" i="8"/>
  <c r="G395" i="8"/>
  <c r="F395" i="8"/>
  <c r="G394" i="8"/>
  <c r="F394" i="8"/>
  <c r="G393" i="8"/>
  <c r="F393" i="8"/>
  <c r="G392" i="8"/>
  <c r="F392" i="8"/>
  <c r="G391" i="8"/>
  <c r="F391" i="8"/>
  <c r="G390" i="8"/>
  <c r="F390" i="8"/>
  <c r="G389" i="8"/>
  <c r="F389" i="8"/>
  <c r="G388" i="8"/>
  <c r="F388" i="8"/>
  <c r="G387" i="8"/>
  <c r="F387" i="8"/>
  <c r="G386" i="8"/>
  <c r="F386" i="8"/>
  <c r="G385" i="8"/>
  <c r="F385" i="8"/>
  <c r="G384" i="8"/>
  <c r="F384" i="8"/>
  <c r="G383" i="8"/>
  <c r="F383" i="8"/>
  <c r="G382" i="8"/>
  <c r="F382" i="8"/>
  <c r="G381" i="8"/>
  <c r="F381" i="8"/>
  <c r="G380" i="8"/>
  <c r="F380" i="8"/>
  <c r="G379" i="8"/>
  <c r="F379" i="8"/>
  <c r="G378" i="8"/>
  <c r="F378" i="8"/>
  <c r="G377" i="8"/>
  <c r="F377" i="8"/>
  <c r="G376" i="8"/>
  <c r="F376" i="8"/>
  <c r="G375" i="8"/>
  <c r="F375" i="8"/>
  <c r="G374" i="8"/>
  <c r="F374" i="8"/>
  <c r="G373" i="8"/>
  <c r="F373" i="8"/>
  <c r="G372" i="8"/>
  <c r="F372" i="8"/>
  <c r="G371" i="8"/>
  <c r="F371" i="8"/>
  <c r="G370" i="8"/>
  <c r="F370" i="8"/>
  <c r="G369" i="8"/>
  <c r="F369" i="8"/>
  <c r="G368" i="8"/>
  <c r="F368" i="8"/>
  <c r="G367" i="8"/>
  <c r="F367" i="8"/>
  <c r="G366" i="8"/>
  <c r="F366" i="8"/>
  <c r="G365" i="8"/>
  <c r="F365" i="8"/>
  <c r="G364" i="8"/>
  <c r="F364" i="8"/>
  <c r="G363" i="8"/>
  <c r="F363" i="8"/>
  <c r="G362" i="8"/>
  <c r="F362" i="8"/>
  <c r="G361" i="8"/>
  <c r="F361" i="8"/>
  <c r="G360" i="8"/>
  <c r="F360" i="8"/>
  <c r="G359" i="8"/>
  <c r="F359" i="8"/>
  <c r="G358" i="8"/>
  <c r="F358" i="8"/>
  <c r="G357" i="8"/>
  <c r="F357" i="8"/>
  <c r="G356" i="8"/>
  <c r="F356" i="8"/>
  <c r="G355" i="8"/>
  <c r="F355" i="8"/>
  <c r="G354" i="8"/>
  <c r="F354" i="8"/>
  <c r="G353" i="8"/>
  <c r="F353" i="8"/>
  <c r="G352" i="8"/>
  <c r="F352" i="8"/>
  <c r="G351" i="8"/>
  <c r="F351" i="8"/>
  <c r="G350" i="8"/>
  <c r="F350" i="8"/>
  <c r="G349" i="8"/>
  <c r="F349" i="8"/>
  <c r="G348" i="8"/>
  <c r="F348" i="8"/>
  <c r="G347" i="8"/>
  <c r="F347" i="8"/>
  <c r="G346" i="8"/>
  <c r="F346" i="8"/>
  <c r="G345" i="8"/>
  <c r="F345" i="8"/>
  <c r="G344" i="8"/>
  <c r="F344" i="8"/>
  <c r="G343" i="8"/>
  <c r="F343" i="8"/>
  <c r="G342" i="8"/>
  <c r="F342" i="8"/>
  <c r="G341" i="8"/>
  <c r="F341" i="8"/>
  <c r="G340" i="8"/>
  <c r="F340" i="8"/>
  <c r="G339" i="8"/>
  <c r="F339" i="8"/>
  <c r="G338" i="8"/>
  <c r="F338" i="8"/>
  <c r="G337" i="8"/>
  <c r="F337" i="8"/>
  <c r="G336" i="8"/>
  <c r="F336" i="8"/>
  <c r="G335" i="8"/>
  <c r="F335" i="8"/>
  <c r="G334" i="8"/>
  <c r="F334" i="8"/>
  <c r="G333" i="8"/>
  <c r="F333" i="8"/>
  <c r="G332" i="8"/>
  <c r="F332" i="8"/>
  <c r="G331" i="8"/>
  <c r="F331" i="8"/>
  <c r="G330" i="8"/>
  <c r="F330" i="8"/>
  <c r="G329" i="8"/>
  <c r="F329" i="8"/>
  <c r="G328" i="8"/>
  <c r="F328" i="8"/>
  <c r="G327" i="8"/>
  <c r="F327" i="8"/>
  <c r="G326" i="8"/>
  <c r="F326" i="8"/>
  <c r="G325" i="8"/>
  <c r="F325" i="8"/>
  <c r="G324" i="8"/>
  <c r="F324" i="8"/>
  <c r="G323" i="8"/>
  <c r="F323" i="8"/>
  <c r="G322" i="8"/>
  <c r="F322" i="8"/>
  <c r="G321" i="8"/>
  <c r="F321" i="8"/>
  <c r="G320" i="8"/>
  <c r="F320" i="8"/>
  <c r="G319" i="8"/>
  <c r="F319" i="8"/>
  <c r="G318" i="8"/>
  <c r="F318" i="8"/>
  <c r="G317" i="8"/>
  <c r="F317" i="8"/>
  <c r="G316" i="8"/>
  <c r="F316" i="8"/>
  <c r="G315" i="8"/>
  <c r="F315" i="8"/>
  <c r="G314" i="8"/>
  <c r="F314" i="8"/>
  <c r="G313" i="8"/>
  <c r="F313" i="8"/>
  <c r="G312" i="8"/>
  <c r="F312" i="8"/>
  <c r="G311" i="8"/>
  <c r="F311" i="8"/>
  <c r="G310" i="8"/>
  <c r="F310" i="8"/>
  <c r="G309" i="8"/>
  <c r="F309" i="8"/>
  <c r="G308" i="8"/>
  <c r="F308" i="8"/>
  <c r="G307" i="8"/>
  <c r="F307" i="8"/>
  <c r="G306" i="8"/>
  <c r="F306" i="8"/>
  <c r="G305" i="8"/>
  <c r="F305" i="8"/>
  <c r="G304" i="8"/>
  <c r="F304" i="8"/>
  <c r="G303" i="8"/>
  <c r="F303" i="8"/>
  <c r="G302" i="8"/>
  <c r="F302" i="8"/>
  <c r="G301" i="8"/>
  <c r="F301" i="8"/>
  <c r="G300" i="8"/>
  <c r="F300" i="8"/>
  <c r="G299" i="8"/>
  <c r="F299" i="8"/>
  <c r="G298" i="8"/>
  <c r="F298" i="8"/>
  <c r="G297" i="8"/>
  <c r="F297" i="8"/>
  <c r="G296" i="8"/>
  <c r="F296" i="8"/>
  <c r="G295" i="8"/>
  <c r="F295" i="8"/>
  <c r="G294" i="8"/>
  <c r="F294" i="8"/>
  <c r="G293" i="8"/>
  <c r="F293" i="8"/>
  <c r="G292" i="8"/>
  <c r="F292" i="8"/>
  <c r="G291" i="8"/>
  <c r="F291" i="8"/>
  <c r="G290" i="8"/>
  <c r="F290" i="8"/>
  <c r="G289" i="8"/>
  <c r="F289" i="8"/>
  <c r="G288" i="8"/>
  <c r="F288" i="8"/>
  <c r="G287" i="8"/>
  <c r="F287" i="8"/>
  <c r="G286" i="8"/>
  <c r="F286" i="8"/>
  <c r="G285" i="8"/>
  <c r="F285" i="8"/>
  <c r="G284" i="8"/>
  <c r="F284" i="8"/>
  <c r="G283" i="8"/>
  <c r="F283" i="8"/>
  <c r="G282" i="8"/>
  <c r="F282" i="8"/>
  <c r="G281" i="8"/>
  <c r="F281" i="8"/>
  <c r="G280" i="8"/>
  <c r="F280" i="8"/>
  <c r="G279" i="8"/>
  <c r="F279" i="8"/>
  <c r="G278" i="8"/>
  <c r="F278" i="8"/>
  <c r="G277" i="8"/>
  <c r="F277" i="8"/>
  <c r="G276" i="8"/>
  <c r="F276" i="8"/>
  <c r="G275" i="8"/>
  <c r="F275" i="8"/>
  <c r="G274" i="8"/>
  <c r="F274" i="8"/>
  <c r="G273" i="8"/>
  <c r="F273" i="8"/>
  <c r="G272" i="8"/>
  <c r="F272" i="8"/>
  <c r="G271" i="8"/>
  <c r="F271" i="8"/>
  <c r="G270" i="8"/>
  <c r="F270" i="8"/>
  <c r="G269" i="8"/>
  <c r="F269" i="8"/>
  <c r="G268" i="8"/>
  <c r="F268" i="8"/>
  <c r="G267" i="8"/>
  <c r="F267" i="8"/>
  <c r="G266" i="8"/>
  <c r="F266" i="8"/>
  <c r="G265" i="8"/>
  <c r="F265" i="8"/>
  <c r="G264" i="8"/>
  <c r="F264" i="8"/>
  <c r="G263" i="8"/>
  <c r="F263" i="8"/>
  <c r="G262" i="8"/>
  <c r="F262" i="8"/>
  <c r="G261" i="8"/>
  <c r="F261" i="8"/>
  <c r="G260" i="8"/>
  <c r="F260" i="8"/>
  <c r="G259" i="8"/>
  <c r="F259" i="8"/>
  <c r="G258" i="8"/>
  <c r="F258" i="8"/>
  <c r="G257" i="8"/>
  <c r="F257" i="8"/>
  <c r="G256" i="8"/>
  <c r="F256" i="8"/>
  <c r="G255" i="8"/>
  <c r="F255" i="8"/>
  <c r="G254" i="8"/>
  <c r="F254" i="8"/>
  <c r="G253" i="8"/>
  <c r="F253" i="8"/>
  <c r="G252" i="8"/>
  <c r="F252" i="8"/>
  <c r="G251" i="8"/>
  <c r="F251" i="8"/>
  <c r="G250" i="8"/>
  <c r="F250" i="8"/>
  <c r="G249" i="8"/>
  <c r="F249" i="8"/>
  <c r="G248" i="8"/>
  <c r="F248" i="8"/>
  <c r="G247" i="8"/>
  <c r="F247" i="8"/>
  <c r="G246" i="8"/>
  <c r="F246" i="8"/>
  <c r="G245" i="8"/>
  <c r="F245" i="8"/>
  <c r="G244" i="8"/>
  <c r="F244" i="8"/>
  <c r="G243" i="8"/>
  <c r="F243" i="8"/>
  <c r="G242" i="8"/>
  <c r="F242" i="8"/>
  <c r="G241" i="8"/>
  <c r="F241" i="8"/>
  <c r="G240" i="8"/>
  <c r="F240" i="8"/>
  <c r="G239" i="8"/>
  <c r="F239" i="8"/>
  <c r="G238" i="8"/>
  <c r="F238" i="8"/>
  <c r="G237" i="8"/>
  <c r="F237" i="8"/>
  <c r="G236" i="8"/>
  <c r="F236" i="8"/>
  <c r="G235" i="8"/>
  <c r="F235" i="8"/>
  <c r="G234" i="8"/>
  <c r="F234" i="8"/>
  <c r="G233" i="8"/>
  <c r="F233" i="8"/>
  <c r="G232" i="8"/>
  <c r="F232" i="8"/>
  <c r="G231" i="8"/>
  <c r="F231" i="8"/>
  <c r="G230" i="8"/>
  <c r="F230" i="8"/>
  <c r="G229" i="8"/>
  <c r="F229" i="8"/>
  <c r="G228" i="8"/>
  <c r="F228" i="8"/>
  <c r="G227" i="8"/>
  <c r="F227" i="8"/>
  <c r="G226" i="8"/>
  <c r="F226" i="8"/>
  <c r="G225" i="8"/>
  <c r="F225" i="8"/>
  <c r="G224" i="8"/>
  <c r="F224" i="8"/>
  <c r="G223" i="8"/>
  <c r="F223" i="8"/>
  <c r="G222" i="8"/>
  <c r="F222" i="8"/>
  <c r="G221" i="8"/>
  <c r="F221" i="8"/>
  <c r="G220" i="8"/>
  <c r="F220" i="8"/>
  <c r="G219" i="8"/>
  <c r="F219" i="8"/>
  <c r="G218" i="8"/>
  <c r="F218" i="8"/>
  <c r="G217" i="8"/>
  <c r="F217" i="8"/>
  <c r="G216" i="8"/>
  <c r="F216" i="8"/>
  <c r="G215" i="8"/>
  <c r="F215" i="8"/>
  <c r="G214" i="8"/>
  <c r="F214" i="8"/>
  <c r="G213" i="8"/>
  <c r="F213" i="8"/>
  <c r="G212" i="8"/>
  <c r="F212" i="8"/>
  <c r="G211" i="8"/>
  <c r="F211" i="8"/>
  <c r="G210" i="8"/>
  <c r="F210" i="8"/>
  <c r="G209" i="8"/>
  <c r="F209" i="8"/>
  <c r="G208" i="8"/>
  <c r="F208" i="8"/>
  <c r="G207" i="8"/>
  <c r="F207" i="8"/>
  <c r="G206" i="8"/>
  <c r="F206" i="8"/>
  <c r="G205" i="8"/>
  <c r="F205" i="8"/>
  <c r="G204" i="8"/>
  <c r="F204" i="8"/>
  <c r="G203" i="8"/>
  <c r="F203" i="8"/>
  <c r="G202" i="8"/>
  <c r="F202" i="8"/>
  <c r="G201" i="8"/>
  <c r="F201" i="8"/>
  <c r="G200" i="8"/>
  <c r="F200" i="8"/>
  <c r="G199" i="8"/>
  <c r="F199" i="8"/>
  <c r="G198" i="8"/>
  <c r="F198" i="8"/>
  <c r="G197" i="8"/>
  <c r="F197" i="8"/>
  <c r="G196" i="8"/>
  <c r="F196" i="8"/>
  <c r="G195" i="8"/>
  <c r="F195" i="8"/>
  <c r="G194" i="8"/>
  <c r="F194" i="8"/>
  <c r="G193" i="8"/>
  <c r="F193" i="8"/>
  <c r="G192" i="8"/>
  <c r="F192" i="8"/>
  <c r="G191" i="8"/>
  <c r="F191" i="8"/>
  <c r="G190" i="8"/>
  <c r="F190" i="8"/>
  <c r="G189" i="8"/>
  <c r="F189" i="8"/>
  <c r="G188" i="8"/>
  <c r="F188" i="8"/>
  <c r="G187" i="8"/>
  <c r="F187" i="8"/>
  <c r="G186" i="8"/>
  <c r="F186" i="8"/>
  <c r="G185" i="8"/>
  <c r="F185" i="8"/>
  <c r="G184" i="8"/>
  <c r="F184" i="8"/>
  <c r="G183" i="8"/>
  <c r="F183" i="8"/>
  <c r="G182" i="8"/>
  <c r="F182" i="8"/>
  <c r="G181" i="8"/>
  <c r="F181" i="8"/>
  <c r="G180" i="8"/>
  <c r="F180" i="8"/>
  <c r="G179" i="8"/>
  <c r="F179" i="8"/>
  <c r="G178" i="8"/>
  <c r="F178" i="8"/>
  <c r="G177" i="8"/>
  <c r="F177" i="8"/>
  <c r="G176" i="8"/>
  <c r="F176" i="8"/>
  <c r="G175" i="8"/>
  <c r="F175" i="8"/>
  <c r="G174" i="8"/>
  <c r="F174" i="8"/>
  <c r="G173" i="8"/>
  <c r="F173" i="8"/>
  <c r="G172" i="8"/>
  <c r="F172" i="8"/>
  <c r="G171" i="8"/>
  <c r="F171" i="8"/>
  <c r="G170" i="8"/>
  <c r="F170" i="8"/>
  <c r="G169" i="8"/>
  <c r="F169" i="8"/>
  <c r="G168" i="8"/>
  <c r="F168" i="8"/>
  <c r="G167" i="8"/>
  <c r="F167" i="8"/>
  <c r="G166" i="8"/>
  <c r="F166" i="8"/>
  <c r="G165" i="8"/>
  <c r="F165" i="8"/>
  <c r="G164" i="8"/>
  <c r="F164" i="8"/>
  <c r="G163" i="8"/>
  <c r="F163" i="8"/>
  <c r="G162" i="8"/>
  <c r="F162" i="8"/>
  <c r="G161" i="8"/>
  <c r="F161" i="8"/>
  <c r="G160" i="8"/>
  <c r="F160" i="8"/>
  <c r="G159" i="8"/>
  <c r="F159" i="8"/>
  <c r="G158" i="8"/>
  <c r="F158" i="8"/>
  <c r="G157" i="8"/>
  <c r="F157" i="8"/>
  <c r="G156" i="8"/>
  <c r="F156" i="8"/>
  <c r="G155" i="8"/>
  <c r="F155" i="8"/>
  <c r="G154" i="8"/>
  <c r="F154" i="8"/>
  <c r="G153" i="8"/>
  <c r="F153" i="8"/>
  <c r="G152" i="8"/>
  <c r="F152" i="8"/>
  <c r="G151" i="8"/>
  <c r="F151" i="8"/>
  <c r="G150" i="8"/>
  <c r="F150" i="8"/>
  <c r="G149" i="8"/>
  <c r="F149" i="8"/>
  <c r="G148" i="8"/>
  <c r="F148" i="8"/>
  <c r="G147" i="8"/>
  <c r="F147" i="8"/>
  <c r="G146" i="8"/>
  <c r="F146" i="8"/>
  <c r="G145" i="8"/>
  <c r="F145" i="8"/>
  <c r="G144" i="8"/>
  <c r="F144" i="8"/>
  <c r="G143" i="8"/>
  <c r="F143" i="8"/>
  <c r="G142" i="8"/>
  <c r="F142" i="8"/>
  <c r="G141" i="8"/>
  <c r="F141" i="8"/>
  <c r="G140" i="8"/>
  <c r="F140" i="8"/>
  <c r="G139" i="8"/>
  <c r="F139" i="8"/>
  <c r="G138" i="8"/>
  <c r="F138" i="8"/>
  <c r="G137" i="8"/>
  <c r="G136" i="8"/>
  <c r="G135" i="8"/>
  <c r="G134" i="8"/>
  <c r="G133" i="8"/>
  <c r="G132" i="8"/>
  <c r="G131" i="8"/>
  <c r="G130" i="8"/>
  <c r="G129" i="8"/>
  <c r="G19" i="8"/>
  <c r="G18" i="8"/>
  <c r="G17" i="8"/>
  <c r="G16" i="8"/>
  <c r="G15" i="8"/>
  <c r="G14" i="8"/>
  <c r="G13" i="8"/>
  <c r="G12" i="8"/>
  <c r="G11" i="8"/>
  <c r="G10" i="8"/>
  <c r="G9" i="8"/>
  <c r="G8" i="8"/>
  <c r="G7" i="8"/>
  <c r="G6" i="8"/>
  <c r="G5" i="8"/>
  <c r="G4" i="8"/>
  <c r="G3" i="8"/>
  <c r="O425" i="8"/>
  <c r="N425" i="8"/>
  <c r="O424" i="8"/>
  <c r="N424" i="8"/>
  <c r="O423" i="8"/>
  <c r="N423" i="8"/>
  <c r="O422" i="8"/>
  <c r="N422" i="8"/>
  <c r="O421" i="8"/>
  <c r="N421" i="8"/>
  <c r="O420" i="8"/>
  <c r="N420" i="8"/>
  <c r="O419" i="8"/>
  <c r="N419" i="8"/>
  <c r="O418" i="8"/>
  <c r="N418" i="8"/>
  <c r="O417" i="8"/>
  <c r="N417" i="8"/>
  <c r="O416" i="8"/>
  <c r="N416" i="8"/>
  <c r="O415" i="8"/>
  <c r="N415" i="8"/>
  <c r="O414" i="8"/>
  <c r="N414" i="8"/>
  <c r="O413" i="8"/>
  <c r="N413" i="8"/>
  <c r="O412" i="8"/>
  <c r="N412" i="8"/>
  <c r="O411" i="8"/>
  <c r="N411" i="8"/>
  <c r="O410" i="8"/>
  <c r="N410" i="8"/>
  <c r="O409" i="8"/>
  <c r="N409" i="8"/>
  <c r="O408" i="8"/>
  <c r="N408" i="8"/>
  <c r="O407" i="8"/>
  <c r="N407" i="8"/>
  <c r="O406" i="8"/>
  <c r="N406" i="8"/>
  <c r="O405" i="8"/>
  <c r="N405" i="8"/>
  <c r="O404" i="8"/>
  <c r="N404" i="8"/>
  <c r="O403" i="8"/>
  <c r="N403" i="8"/>
  <c r="O402" i="8"/>
  <c r="N402" i="8"/>
  <c r="O401" i="8"/>
  <c r="N401" i="8"/>
  <c r="O400" i="8"/>
  <c r="N400" i="8"/>
  <c r="O399" i="8"/>
  <c r="N399" i="8"/>
  <c r="O398" i="8"/>
  <c r="N398" i="8"/>
  <c r="O397" i="8"/>
  <c r="N397" i="8"/>
  <c r="O396" i="8"/>
  <c r="N396" i="8"/>
  <c r="O395" i="8"/>
  <c r="N395" i="8"/>
  <c r="O394" i="8"/>
  <c r="N394" i="8"/>
  <c r="O393" i="8"/>
  <c r="N393" i="8"/>
  <c r="O392" i="8"/>
  <c r="N392" i="8"/>
  <c r="O391" i="8"/>
  <c r="N391" i="8"/>
  <c r="O390" i="8"/>
  <c r="N390" i="8"/>
  <c r="O389" i="8"/>
  <c r="N389" i="8"/>
  <c r="O388" i="8"/>
  <c r="N388" i="8"/>
  <c r="O387" i="8"/>
  <c r="N387" i="8"/>
  <c r="O386" i="8"/>
  <c r="N386" i="8"/>
  <c r="O385" i="8"/>
  <c r="N385" i="8"/>
  <c r="O384" i="8"/>
  <c r="N384" i="8"/>
  <c r="O383" i="8"/>
  <c r="N383" i="8"/>
  <c r="O382" i="8"/>
  <c r="N382" i="8"/>
  <c r="O381" i="8"/>
  <c r="N381" i="8"/>
  <c r="O380" i="8"/>
  <c r="N380" i="8"/>
  <c r="O379" i="8"/>
  <c r="N379" i="8"/>
  <c r="O378" i="8"/>
  <c r="N378" i="8"/>
  <c r="O377" i="8"/>
  <c r="N377" i="8"/>
  <c r="O376" i="8"/>
  <c r="N376" i="8"/>
  <c r="O375" i="8"/>
  <c r="N375" i="8"/>
  <c r="O374" i="8"/>
  <c r="N374" i="8"/>
  <c r="O373" i="8"/>
  <c r="N373" i="8"/>
  <c r="O372" i="8"/>
  <c r="N372" i="8"/>
  <c r="O371" i="8"/>
  <c r="N371" i="8"/>
  <c r="O370" i="8"/>
  <c r="N370" i="8"/>
  <c r="O369" i="8"/>
  <c r="N369" i="8"/>
  <c r="O368" i="8"/>
  <c r="N368" i="8"/>
  <c r="O367" i="8"/>
  <c r="N367" i="8"/>
  <c r="O366" i="8"/>
  <c r="N366" i="8"/>
  <c r="O365" i="8"/>
  <c r="N365" i="8"/>
  <c r="O364" i="8"/>
  <c r="N364" i="8"/>
  <c r="O363" i="8"/>
  <c r="N363" i="8"/>
  <c r="O362" i="8"/>
  <c r="N362" i="8"/>
  <c r="O361" i="8"/>
  <c r="N361" i="8"/>
  <c r="O360" i="8"/>
  <c r="N360" i="8"/>
  <c r="O359" i="8"/>
  <c r="N359" i="8"/>
  <c r="O358" i="8"/>
  <c r="N358" i="8"/>
  <c r="O357" i="8"/>
  <c r="N357" i="8"/>
  <c r="O356" i="8"/>
  <c r="N356" i="8"/>
  <c r="O355" i="8"/>
  <c r="N355" i="8"/>
  <c r="O354" i="8"/>
  <c r="N354" i="8"/>
  <c r="O353" i="8"/>
  <c r="N353" i="8"/>
  <c r="O352" i="8"/>
  <c r="N352" i="8"/>
  <c r="O351" i="8"/>
  <c r="N351" i="8"/>
  <c r="O350" i="8"/>
  <c r="N350" i="8"/>
  <c r="O349" i="8"/>
  <c r="N349" i="8"/>
  <c r="O348" i="8"/>
  <c r="N348" i="8"/>
  <c r="O347" i="8"/>
  <c r="N347" i="8"/>
  <c r="O346" i="8"/>
  <c r="N346" i="8"/>
  <c r="O345" i="8"/>
  <c r="N345" i="8"/>
  <c r="O344" i="8"/>
  <c r="N344" i="8"/>
  <c r="O343" i="8"/>
  <c r="N343" i="8"/>
  <c r="O342" i="8"/>
  <c r="N342" i="8"/>
  <c r="O341" i="8"/>
  <c r="N341" i="8"/>
  <c r="O340" i="8"/>
  <c r="N340" i="8"/>
  <c r="O339" i="8"/>
  <c r="N339" i="8"/>
  <c r="O338" i="8"/>
  <c r="N338" i="8"/>
  <c r="O337" i="8"/>
  <c r="N337" i="8"/>
  <c r="O336" i="8"/>
  <c r="N336" i="8"/>
  <c r="O335" i="8"/>
  <c r="N335" i="8"/>
  <c r="O334" i="8"/>
  <c r="N334" i="8"/>
  <c r="O333" i="8"/>
  <c r="N333" i="8"/>
  <c r="O332" i="8"/>
  <c r="N332" i="8"/>
  <c r="O331" i="8"/>
  <c r="N331" i="8"/>
  <c r="O330" i="8"/>
  <c r="N330" i="8"/>
  <c r="O329" i="8"/>
  <c r="N329" i="8"/>
  <c r="O328" i="8"/>
  <c r="N328" i="8"/>
  <c r="O327" i="8"/>
  <c r="N327" i="8"/>
  <c r="O326" i="8"/>
  <c r="N326" i="8"/>
  <c r="O325" i="8"/>
  <c r="N325" i="8"/>
  <c r="O324" i="8"/>
  <c r="N324" i="8"/>
  <c r="O323" i="8"/>
  <c r="N323" i="8"/>
  <c r="O322" i="8"/>
  <c r="N322" i="8"/>
  <c r="O321" i="8"/>
  <c r="N321" i="8"/>
  <c r="O320" i="8"/>
  <c r="N320" i="8"/>
  <c r="O319" i="8"/>
  <c r="N319" i="8"/>
  <c r="O318" i="8"/>
  <c r="N318" i="8"/>
  <c r="O317" i="8"/>
  <c r="N317" i="8"/>
  <c r="O316" i="8"/>
  <c r="N316" i="8"/>
  <c r="O315" i="8"/>
  <c r="N315" i="8"/>
  <c r="O314" i="8"/>
  <c r="N314" i="8"/>
  <c r="O313" i="8"/>
  <c r="N313" i="8"/>
  <c r="O312" i="8"/>
  <c r="N312" i="8"/>
  <c r="O311" i="8"/>
  <c r="N311" i="8"/>
  <c r="O310" i="8"/>
  <c r="N310" i="8"/>
  <c r="O309" i="8"/>
  <c r="N309" i="8"/>
  <c r="O308" i="8"/>
  <c r="N308" i="8"/>
  <c r="O307" i="8"/>
  <c r="N307" i="8"/>
  <c r="O306" i="8"/>
  <c r="N306" i="8"/>
  <c r="O305" i="8"/>
  <c r="N305" i="8"/>
  <c r="O304" i="8"/>
  <c r="N304" i="8"/>
  <c r="O303" i="8"/>
  <c r="N303" i="8"/>
  <c r="O302" i="8"/>
  <c r="N302" i="8"/>
  <c r="O301" i="8"/>
  <c r="N301" i="8"/>
  <c r="O300" i="8"/>
  <c r="N300" i="8"/>
  <c r="O299" i="8"/>
  <c r="N299" i="8"/>
  <c r="O298" i="8"/>
  <c r="N298" i="8"/>
  <c r="O297" i="8"/>
  <c r="N297" i="8"/>
  <c r="O296" i="8"/>
  <c r="N296" i="8"/>
  <c r="O295" i="8"/>
  <c r="N295" i="8"/>
  <c r="O294" i="8"/>
  <c r="N294" i="8"/>
  <c r="O293" i="8"/>
  <c r="N293" i="8"/>
  <c r="O292" i="8"/>
  <c r="N292" i="8"/>
  <c r="O291" i="8"/>
  <c r="N291" i="8"/>
  <c r="O290" i="8"/>
  <c r="N290" i="8"/>
  <c r="O289" i="8"/>
  <c r="N289" i="8"/>
  <c r="O288" i="8"/>
  <c r="N288" i="8"/>
  <c r="O287" i="8"/>
  <c r="N287" i="8"/>
  <c r="O286" i="8"/>
  <c r="N286" i="8"/>
  <c r="O285" i="8"/>
  <c r="N285" i="8"/>
  <c r="O284" i="8"/>
  <c r="N284" i="8"/>
  <c r="O283" i="8"/>
  <c r="N283" i="8"/>
  <c r="O282" i="8"/>
  <c r="N282" i="8"/>
  <c r="O281" i="8"/>
  <c r="N281" i="8"/>
  <c r="O280" i="8"/>
  <c r="N280" i="8"/>
  <c r="O279" i="8"/>
  <c r="N279" i="8"/>
  <c r="O278" i="8"/>
  <c r="N278" i="8"/>
  <c r="O277" i="8"/>
  <c r="N277" i="8"/>
  <c r="O276" i="8"/>
  <c r="N276" i="8"/>
  <c r="O275" i="8"/>
  <c r="N275" i="8"/>
  <c r="O274" i="8"/>
  <c r="N274" i="8"/>
  <c r="O273" i="8"/>
  <c r="N273" i="8"/>
  <c r="O272" i="8"/>
  <c r="N272" i="8"/>
  <c r="O271" i="8"/>
  <c r="N271" i="8"/>
  <c r="O270" i="8"/>
  <c r="N270" i="8"/>
  <c r="O269" i="8"/>
  <c r="N269" i="8"/>
  <c r="O268" i="8"/>
  <c r="N268" i="8"/>
  <c r="O267" i="8"/>
  <c r="N267" i="8"/>
  <c r="O266" i="8"/>
  <c r="N266" i="8"/>
  <c r="O265" i="8"/>
  <c r="N265" i="8"/>
  <c r="O264" i="8"/>
  <c r="N264" i="8"/>
  <c r="O263" i="8"/>
  <c r="N263" i="8"/>
  <c r="O262" i="8"/>
  <c r="N262" i="8"/>
  <c r="O261" i="8"/>
  <c r="N261" i="8"/>
  <c r="O260" i="8"/>
  <c r="N260" i="8"/>
  <c r="O259" i="8"/>
  <c r="N259" i="8"/>
  <c r="O258" i="8"/>
  <c r="N258" i="8"/>
  <c r="O257" i="8"/>
  <c r="N257" i="8"/>
  <c r="O256" i="8"/>
  <c r="N256" i="8"/>
  <c r="O255" i="8"/>
  <c r="N255" i="8"/>
  <c r="O254" i="8"/>
  <c r="N254" i="8"/>
  <c r="O253" i="8"/>
  <c r="N253" i="8"/>
  <c r="O252" i="8"/>
  <c r="N252" i="8"/>
  <c r="O251" i="8"/>
  <c r="N251" i="8"/>
  <c r="O250" i="8"/>
  <c r="N250" i="8"/>
  <c r="O249" i="8"/>
  <c r="N249" i="8"/>
  <c r="O248" i="8"/>
  <c r="N248" i="8"/>
  <c r="O247" i="8"/>
  <c r="N247" i="8"/>
  <c r="O246" i="8"/>
  <c r="N246" i="8"/>
  <c r="O245" i="8"/>
  <c r="N245" i="8"/>
  <c r="O244" i="8"/>
  <c r="N244" i="8"/>
  <c r="O243" i="8"/>
  <c r="N243" i="8"/>
  <c r="O242" i="8"/>
  <c r="N242" i="8"/>
  <c r="O241" i="8"/>
  <c r="N241" i="8"/>
  <c r="O240" i="8"/>
  <c r="N240" i="8"/>
  <c r="O239" i="8"/>
  <c r="N239" i="8"/>
  <c r="O238" i="8"/>
  <c r="N238" i="8"/>
  <c r="O237" i="8"/>
  <c r="N237" i="8"/>
  <c r="O236" i="8"/>
  <c r="N236" i="8"/>
  <c r="O235" i="8"/>
  <c r="N235" i="8"/>
  <c r="O234" i="8"/>
  <c r="N234" i="8"/>
  <c r="O233" i="8"/>
  <c r="N233" i="8"/>
  <c r="O232" i="8"/>
  <c r="N232" i="8"/>
  <c r="O231" i="8"/>
  <c r="N231" i="8"/>
  <c r="O230" i="8"/>
  <c r="N230" i="8"/>
  <c r="O229" i="8"/>
  <c r="N229" i="8"/>
  <c r="O228" i="8"/>
  <c r="N228" i="8"/>
  <c r="O227" i="8"/>
  <c r="N227" i="8"/>
  <c r="O226" i="8"/>
  <c r="N226" i="8"/>
  <c r="O225" i="8"/>
  <c r="N225" i="8"/>
  <c r="O224" i="8"/>
  <c r="N224" i="8"/>
  <c r="O223" i="8"/>
  <c r="N223" i="8"/>
  <c r="O222" i="8"/>
  <c r="N222" i="8"/>
  <c r="O221" i="8"/>
  <c r="N221" i="8"/>
  <c r="O220" i="8"/>
  <c r="N220" i="8"/>
  <c r="O219" i="8"/>
  <c r="N219" i="8"/>
  <c r="O218" i="8"/>
  <c r="N218" i="8"/>
  <c r="O217" i="8"/>
  <c r="N217" i="8"/>
  <c r="O216" i="8"/>
  <c r="N216" i="8"/>
  <c r="O215" i="8"/>
  <c r="N215" i="8"/>
  <c r="O214" i="8"/>
  <c r="N214" i="8"/>
  <c r="O213" i="8"/>
  <c r="N213" i="8"/>
  <c r="O212" i="8"/>
  <c r="N212" i="8"/>
  <c r="O211" i="8"/>
  <c r="N211" i="8"/>
  <c r="O210" i="8"/>
  <c r="N210" i="8"/>
  <c r="O209" i="8"/>
  <c r="N209" i="8"/>
  <c r="O208" i="8"/>
  <c r="N208" i="8"/>
  <c r="O207" i="8"/>
  <c r="N207" i="8"/>
  <c r="O206" i="8"/>
  <c r="N206" i="8"/>
  <c r="O205" i="8"/>
  <c r="N205" i="8"/>
  <c r="O204" i="8"/>
  <c r="N204" i="8"/>
  <c r="O203" i="8"/>
  <c r="N203" i="8"/>
  <c r="O202" i="8"/>
  <c r="N202" i="8"/>
  <c r="O201" i="8"/>
  <c r="N201" i="8"/>
  <c r="O200" i="8"/>
  <c r="N200" i="8"/>
  <c r="O199" i="8"/>
  <c r="N199" i="8"/>
  <c r="O198" i="8"/>
  <c r="N198" i="8"/>
  <c r="O197" i="8"/>
  <c r="N197" i="8"/>
  <c r="O196" i="8"/>
  <c r="N196" i="8"/>
  <c r="O195" i="8"/>
  <c r="N195" i="8"/>
  <c r="O194" i="8"/>
  <c r="N194" i="8"/>
  <c r="O193" i="8"/>
  <c r="N193" i="8"/>
  <c r="O192" i="8"/>
  <c r="N192" i="8"/>
  <c r="O191" i="8"/>
  <c r="N191" i="8"/>
  <c r="O190" i="8"/>
  <c r="N190" i="8"/>
  <c r="O189" i="8"/>
  <c r="N189" i="8"/>
  <c r="O188" i="8"/>
  <c r="N188" i="8"/>
  <c r="O187" i="8"/>
  <c r="N187" i="8"/>
  <c r="O186" i="8"/>
  <c r="N186" i="8"/>
  <c r="O185" i="8"/>
  <c r="N185" i="8"/>
  <c r="O184" i="8"/>
  <c r="N184" i="8"/>
  <c r="O183" i="8"/>
  <c r="N183" i="8"/>
  <c r="O182" i="8"/>
  <c r="N182" i="8"/>
  <c r="O181" i="8"/>
  <c r="N181" i="8"/>
  <c r="O180" i="8"/>
  <c r="N180" i="8"/>
  <c r="O179" i="8"/>
  <c r="N179" i="8"/>
  <c r="O178" i="8"/>
  <c r="N178" i="8"/>
  <c r="O177" i="8"/>
  <c r="N177" i="8"/>
  <c r="O176" i="8"/>
  <c r="N176" i="8"/>
  <c r="O175" i="8"/>
  <c r="N175" i="8"/>
  <c r="O174" i="8"/>
  <c r="N174" i="8"/>
  <c r="O173" i="8"/>
  <c r="N173" i="8"/>
  <c r="O172" i="8"/>
  <c r="N172" i="8"/>
  <c r="O171" i="8"/>
  <c r="N171" i="8"/>
  <c r="O170" i="8"/>
  <c r="N170" i="8"/>
  <c r="O169" i="8"/>
  <c r="N169" i="8"/>
  <c r="O168" i="8"/>
  <c r="N168" i="8"/>
  <c r="O167" i="8"/>
  <c r="N167" i="8"/>
  <c r="O166" i="8"/>
  <c r="N166" i="8"/>
  <c r="O165" i="8"/>
  <c r="N165" i="8"/>
  <c r="O164" i="8"/>
  <c r="N164" i="8"/>
  <c r="O163" i="8"/>
  <c r="N163" i="8"/>
  <c r="O162" i="8"/>
  <c r="N162" i="8"/>
  <c r="O161" i="8"/>
  <c r="N161" i="8"/>
  <c r="O160" i="8"/>
  <c r="N160" i="8"/>
  <c r="O159" i="8"/>
  <c r="N159" i="8"/>
  <c r="O158" i="8"/>
  <c r="N158" i="8"/>
  <c r="O157" i="8"/>
  <c r="N157" i="8"/>
  <c r="O156" i="8"/>
  <c r="N156" i="8"/>
  <c r="O155" i="8"/>
  <c r="N155" i="8"/>
  <c r="O154" i="8"/>
  <c r="N154" i="8"/>
  <c r="O153" i="8"/>
  <c r="N153" i="8"/>
  <c r="O152" i="8"/>
  <c r="N152" i="8"/>
  <c r="O151" i="8"/>
  <c r="N151" i="8"/>
  <c r="O150" i="8"/>
  <c r="N150" i="8"/>
  <c r="O149" i="8"/>
  <c r="N149" i="8"/>
  <c r="O148" i="8"/>
  <c r="N148" i="8"/>
  <c r="O147" i="8"/>
  <c r="N147" i="8"/>
  <c r="O146" i="8"/>
  <c r="N146" i="8"/>
  <c r="O145" i="8"/>
  <c r="N145" i="8"/>
  <c r="O144" i="8"/>
  <c r="N144" i="8"/>
  <c r="O143" i="8"/>
  <c r="N143" i="8"/>
  <c r="O142" i="8"/>
  <c r="N142" i="8"/>
  <c r="O141" i="8"/>
  <c r="N141" i="8"/>
  <c r="O140" i="8"/>
  <c r="O139" i="8"/>
  <c r="O138" i="8"/>
  <c r="O137" i="8"/>
  <c r="O136" i="8"/>
  <c r="O135" i="8"/>
  <c r="O134" i="8"/>
  <c r="O133" i="8"/>
  <c r="O132" i="8"/>
  <c r="O131" i="8"/>
  <c r="O130" i="8"/>
  <c r="O129" i="8"/>
  <c r="O128" i="8"/>
  <c r="O127" i="8"/>
  <c r="O126" i="8"/>
  <c r="O18" i="8"/>
  <c r="O17" i="8"/>
  <c r="O16" i="8"/>
  <c r="O15" i="8"/>
  <c r="O14" i="8"/>
  <c r="O13" i="8"/>
  <c r="O12" i="8"/>
  <c r="O11" i="8"/>
  <c r="O10" i="8"/>
  <c r="O9" i="8"/>
  <c r="O8" i="8"/>
  <c r="O7" i="8"/>
  <c r="O6" i="8"/>
  <c r="O5" i="8"/>
  <c r="O4" i="8"/>
  <c r="O3" i="8"/>
  <c r="W413" i="8"/>
  <c r="V413" i="8"/>
  <c r="W412" i="8"/>
  <c r="V412" i="8"/>
  <c r="W411" i="8"/>
  <c r="V411" i="8"/>
  <c r="W410" i="8"/>
  <c r="V410" i="8"/>
  <c r="W409" i="8"/>
  <c r="V409" i="8"/>
  <c r="W408" i="8"/>
  <c r="V408" i="8"/>
  <c r="W407" i="8"/>
  <c r="V407" i="8"/>
  <c r="W406" i="8"/>
  <c r="V406" i="8"/>
  <c r="W405" i="8"/>
  <c r="V405" i="8"/>
  <c r="W404" i="8"/>
  <c r="V404" i="8"/>
  <c r="W403" i="8"/>
  <c r="V403" i="8"/>
  <c r="W402" i="8"/>
  <c r="V402" i="8"/>
  <c r="W401" i="8"/>
  <c r="V401" i="8"/>
  <c r="W400" i="8"/>
  <c r="V400" i="8"/>
  <c r="W399" i="8"/>
  <c r="V399" i="8"/>
  <c r="W398" i="8"/>
  <c r="V398" i="8"/>
  <c r="W397" i="8"/>
  <c r="V397" i="8"/>
  <c r="W396" i="8"/>
  <c r="V396" i="8"/>
  <c r="W395" i="8"/>
  <c r="V395" i="8"/>
  <c r="W394" i="8"/>
  <c r="V394" i="8"/>
  <c r="W393" i="8"/>
  <c r="V393" i="8"/>
  <c r="W392" i="8"/>
  <c r="V392" i="8"/>
  <c r="W391" i="8"/>
  <c r="V391" i="8"/>
  <c r="W390" i="8"/>
  <c r="V390" i="8"/>
  <c r="W389" i="8"/>
  <c r="V389" i="8"/>
  <c r="W388" i="8"/>
  <c r="V388" i="8"/>
  <c r="W387" i="8"/>
  <c r="V387" i="8"/>
  <c r="W386" i="8"/>
  <c r="V386" i="8"/>
  <c r="W385" i="8"/>
  <c r="V385" i="8"/>
  <c r="W384" i="8"/>
  <c r="V384" i="8"/>
  <c r="W383" i="8"/>
  <c r="V383" i="8"/>
  <c r="W382" i="8"/>
  <c r="V382" i="8"/>
  <c r="W381" i="8"/>
  <c r="V381" i="8"/>
  <c r="W380" i="8"/>
  <c r="V380" i="8"/>
  <c r="W379" i="8"/>
  <c r="V379" i="8"/>
  <c r="W378" i="8"/>
  <c r="V378" i="8"/>
  <c r="W377" i="8"/>
  <c r="V377" i="8"/>
  <c r="W376" i="8"/>
  <c r="V376" i="8"/>
  <c r="W375" i="8"/>
  <c r="V375" i="8"/>
  <c r="W374" i="8"/>
  <c r="V374" i="8"/>
  <c r="W373" i="8"/>
  <c r="V373" i="8"/>
  <c r="W372" i="8"/>
  <c r="V372" i="8"/>
  <c r="W371" i="8"/>
  <c r="V371" i="8"/>
  <c r="W370" i="8"/>
  <c r="V370" i="8"/>
  <c r="W369" i="8"/>
  <c r="V369" i="8"/>
  <c r="W368" i="8"/>
  <c r="V368" i="8"/>
  <c r="W367" i="8"/>
  <c r="V367" i="8"/>
  <c r="W366" i="8"/>
  <c r="V366" i="8"/>
  <c r="W365" i="8"/>
  <c r="V365" i="8"/>
  <c r="W364" i="8"/>
  <c r="V364" i="8"/>
  <c r="W363" i="8"/>
  <c r="V363" i="8"/>
  <c r="W362" i="8"/>
  <c r="V362" i="8"/>
  <c r="W361" i="8"/>
  <c r="V361" i="8"/>
  <c r="W360" i="8"/>
  <c r="V360" i="8"/>
  <c r="W359" i="8"/>
  <c r="V359" i="8"/>
  <c r="W358" i="8"/>
  <c r="V358" i="8"/>
  <c r="W357" i="8"/>
  <c r="V357" i="8"/>
  <c r="W356" i="8"/>
  <c r="V356" i="8"/>
  <c r="W355" i="8"/>
  <c r="V355" i="8"/>
  <c r="W354" i="8"/>
  <c r="V354" i="8"/>
  <c r="W353" i="8"/>
  <c r="V353" i="8"/>
  <c r="W352" i="8"/>
  <c r="V352" i="8"/>
  <c r="W351" i="8"/>
  <c r="V351" i="8"/>
  <c r="W350" i="8"/>
  <c r="V350" i="8"/>
  <c r="W349" i="8"/>
  <c r="V349" i="8"/>
  <c r="W348" i="8"/>
  <c r="V348" i="8"/>
  <c r="W347" i="8"/>
  <c r="V347" i="8"/>
  <c r="W346" i="8"/>
  <c r="V346" i="8"/>
  <c r="W345" i="8"/>
  <c r="V345" i="8"/>
  <c r="W344" i="8"/>
  <c r="V344" i="8"/>
  <c r="W343" i="8"/>
  <c r="V343" i="8"/>
  <c r="W342" i="8"/>
  <c r="V342" i="8"/>
  <c r="W341" i="8"/>
  <c r="V341" i="8"/>
  <c r="W340" i="8"/>
  <c r="V340" i="8"/>
  <c r="W339" i="8"/>
  <c r="V339" i="8"/>
  <c r="W338" i="8"/>
  <c r="V338" i="8"/>
  <c r="W337" i="8"/>
  <c r="V337" i="8"/>
  <c r="W336" i="8"/>
  <c r="V336" i="8"/>
  <c r="W335" i="8"/>
  <c r="V335" i="8"/>
  <c r="W334" i="8"/>
  <c r="V334" i="8"/>
  <c r="W333" i="8"/>
  <c r="V333" i="8"/>
  <c r="W332" i="8"/>
  <c r="V332" i="8"/>
  <c r="W331" i="8"/>
  <c r="V331" i="8"/>
  <c r="W330" i="8"/>
  <c r="V330" i="8"/>
  <c r="W329" i="8"/>
  <c r="V329" i="8"/>
  <c r="W328" i="8"/>
  <c r="V328" i="8"/>
  <c r="W327" i="8"/>
  <c r="V327" i="8"/>
  <c r="W326" i="8"/>
  <c r="V326" i="8"/>
  <c r="W325" i="8"/>
  <c r="V325" i="8"/>
  <c r="W324" i="8"/>
  <c r="V324" i="8"/>
  <c r="W323" i="8"/>
  <c r="V323" i="8"/>
  <c r="W322" i="8"/>
  <c r="V322" i="8"/>
  <c r="W321" i="8"/>
  <c r="V321" i="8"/>
  <c r="W320" i="8"/>
  <c r="V320" i="8"/>
  <c r="W319" i="8"/>
  <c r="V319" i="8"/>
  <c r="W318" i="8"/>
  <c r="V318" i="8"/>
  <c r="W317" i="8"/>
  <c r="V317" i="8"/>
  <c r="W316" i="8"/>
  <c r="V316" i="8"/>
  <c r="W315" i="8"/>
  <c r="V315" i="8"/>
  <c r="W314" i="8"/>
  <c r="V314" i="8"/>
  <c r="W313" i="8"/>
  <c r="V313" i="8"/>
  <c r="W312" i="8"/>
  <c r="V312" i="8"/>
  <c r="W311" i="8"/>
  <c r="V311" i="8"/>
  <c r="W310" i="8"/>
  <c r="V310" i="8"/>
  <c r="W309" i="8"/>
  <c r="V309" i="8"/>
  <c r="W308" i="8"/>
  <c r="V308" i="8"/>
  <c r="W307" i="8"/>
  <c r="V307" i="8"/>
  <c r="W306" i="8"/>
  <c r="V306" i="8"/>
  <c r="W305" i="8"/>
  <c r="V305" i="8"/>
  <c r="W304" i="8"/>
  <c r="V304" i="8"/>
  <c r="W303" i="8"/>
  <c r="V303" i="8"/>
  <c r="W302" i="8"/>
  <c r="V302" i="8"/>
  <c r="W301" i="8"/>
  <c r="V301" i="8"/>
  <c r="W300" i="8"/>
  <c r="V300" i="8"/>
  <c r="W299" i="8"/>
  <c r="V299" i="8"/>
  <c r="W298" i="8"/>
  <c r="V298" i="8"/>
  <c r="W297" i="8"/>
  <c r="V297" i="8"/>
  <c r="W296" i="8"/>
  <c r="V296" i="8"/>
  <c r="W295" i="8"/>
  <c r="V295" i="8"/>
  <c r="W294" i="8"/>
  <c r="V294" i="8"/>
  <c r="W293" i="8"/>
  <c r="V293" i="8"/>
  <c r="W292" i="8"/>
  <c r="V292" i="8"/>
  <c r="W291" i="8"/>
  <c r="V291" i="8"/>
  <c r="W290" i="8"/>
  <c r="V290" i="8"/>
  <c r="W289" i="8"/>
  <c r="V289" i="8"/>
  <c r="W288" i="8"/>
  <c r="V288" i="8"/>
  <c r="W287" i="8"/>
  <c r="V287" i="8"/>
  <c r="W286" i="8"/>
  <c r="V286" i="8"/>
  <c r="W285" i="8"/>
  <c r="V285" i="8"/>
  <c r="W284" i="8"/>
  <c r="V284" i="8"/>
  <c r="W283" i="8"/>
  <c r="V283" i="8"/>
  <c r="W282" i="8"/>
  <c r="V282" i="8"/>
  <c r="W281" i="8"/>
  <c r="V281" i="8"/>
  <c r="W280" i="8"/>
  <c r="V280" i="8"/>
  <c r="W279" i="8"/>
  <c r="V279" i="8"/>
  <c r="W278" i="8"/>
  <c r="V278" i="8"/>
  <c r="W277" i="8"/>
  <c r="V277" i="8"/>
  <c r="W276" i="8"/>
  <c r="V276" i="8"/>
  <c r="W275" i="8"/>
  <c r="V275" i="8"/>
  <c r="W274" i="8"/>
  <c r="V274" i="8"/>
  <c r="W273" i="8"/>
  <c r="V273" i="8"/>
  <c r="W272" i="8"/>
  <c r="V272" i="8"/>
  <c r="W271" i="8"/>
  <c r="V271" i="8"/>
  <c r="W270" i="8"/>
  <c r="V270" i="8"/>
  <c r="W269" i="8"/>
  <c r="V269" i="8"/>
  <c r="W268" i="8"/>
  <c r="V268" i="8"/>
  <c r="W267" i="8"/>
  <c r="V267" i="8"/>
  <c r="W266" i="8"/>
  <c r="V266" i="8"/>
  <c r="W265" i="8"/>
  <c r="V265" i="8"/>
  <c r="W264" i="8"/>
  <c r="V264" i="8"/>
  <c r="W263" i="8"/>
  <c r="V263" i="8"/>
  <c r="W262" i="8"/>
  <c r="V262" i="8"/>
  <c r="W261" i="8"/>
  <c r="V261" i="8"/>
  <c r="W260" i="8"/>
  <c r="V260" i="8"/>
  <c r="W259" i="8"/>
  <c r="V259" i="8"/>
  <c r="W258" i="8"/>
  <c r="V258" i="8"/>
  <c r="W257" i="8"/>
  <c r="V257" i="8"/>
  <c r="W256" i="8"/>
  <c r="V256" i="8"/>
  <c r="W255" i="8"/>
  <c r="V255" i="8"/>
  <c r="W254" i="8"/>
  <c r="V254" i="8"/>
  <c r="W253" i="8"/>
  <c r="V253" i="8"/>
  <c r="W252" i="8"/>
  <c r="V252" i="8"/>
  <c r="W251" i="8"/>
  <c r="V251" i="8"/>
  <c r="W250" i="8"/>
  <c r="V250" i="8"/>
  <c r="W249" i="8"/>
  <c r="V249" i="8"/>
  <c r="W248" i="8"/>
  <c r="V248" i="8"/>
  <c r="W247" i="8"/>
  <c r="V247" i="8"/>
  <c r="W246" i="8"/>
  <c r="V246" i="8"/>
  <c r="W245" i="8"/>
  <c r="V245" i="8"/>
  <c r="W244" i="8"/>
  <c r="V244" i="8"/>
  <c r="W243" i="8"/>
  <c r="V243" i="8"/>
  <c r="W242" i="8"/>
  <c r="V242" i="8"/>
  <c r="W241" i="8"/>
  <c r="V241" i="8"/>
  <c r="W240" i="8"/>
  <c r="V240" i="8"/>
  <c r="W239" i="8"/>
  <c r="V239" i="8"/>
  <c r="W238" i="8"/>
  <c r="V238" i="8"/>
  <c r="W237" i="8"/>
  <c r="V237" i="8"/>
  <c r="W236" i="8"/>
  <c r="V236" i="8"/>
  <c r="W235" i="8"/>
  <c r="V235" i="8"/>
  <c r="W234" i="8"/>
  <c r="V234" i="8"/>
  <c r="W233" i="8"/>
  <c r="V233" i="8"/>
  <c r="W232" i="8"/>
  <c r="V232" i="8"/>
  <c r="W231" i="8"/>
  <c r="V231" i="8"/>
  <c r="W230" i="8"/>
  <c r="V230" i="8"/>
  <c r="W229" i="8"/>
  <c r="V229" i="8"/>
  <c r="W228" i="8"/>
  <c r="V228" i="8"/>
  <c r="W227" i="8"/>
  <c r="V227" i="8"/>
  <c r="W226" i="8"/>
  <c r="V226" i="8"/>
  <c r="W225" i="8"/>
  <c r="V225" i="8"/>
  <c r="W224" i="8"/>
  <c r="V224" i="8"/>
  <c r="W223" i="8"/>
  <c r="V223" i="8"/>
  <c r="W222" i="8"/>
  <c r="V222" i="8"/>
  <c r="W221" i="8"/>
  <c r="V221" i="8"/>
  <c r="W220" i="8"/>
  <c r="V220" i="8"/>
  <c r="W219" i="8"/>
  <c r="V219" i="8"/>
  <c r="W218" i="8"/>
  <c r="V218" i="8"/>
  <c r="W217" i="8"/>
  <c r="V217" i="8"/>
  <c r="W216" i="8"/>
  <c r="V216" i="8"/>
  <c r="W215" i="8"/>
  <c r="V215" i="8"/>
  <c r="W214" i="8"/>
  <c r="V214" i="8"/>
  <c r="W213" i="8"/>
  <c r="V213" i="8"/>
  <c r="W212" i="8"/>
  <c r="V212" i="8"/>
  <c r="W211" i="8"/>
  <c r="V211" i="8"/>
  <c r="W210" i="8"/>
  <c r="V210" i="8"/>
  <c r="W209" i="8"/>
  <c r="V209" i="8"/>
  <c r="W208" i="8"/>
  <c r="V208" i="8"/>
  <c r="W207" i="8"/>
  <c r="V207" i="8"/>
  <c r="W206" i="8"/>
  <c r="V206" i="8"/>
  <c r="W205" i="8"/>
  <c r="V205" i="8"/>
  <c r="W204" i="8"/>
  <c r="V204" i="8"/>
  <c r="W203" i="8"/>
  <c r="V203" i="8"/>
  <c r="W202" i="8"/>
  <c r="V202" i="8"/>
  <c r="W201" i="8"/>
  <c r="V201" i="8"/>
  <c r="W200" i="8"/>
  <c r="V200" i="8"/>
  <c r="W199" i="8"/>
  <c r="V199" i="8"/>
  <c r="W198" i="8"/>
  <c r="V198" i="8"/>
  <c r="W197" i="8"/>
  <c r="V197" i="8"/>
  <c r="W196" i="8"/>
  <c r="V196" i="8"/>
  <c r="W195" i="8"/>
  <c r="V195" i="8"/>
  <c r="W194" i="8"/>
  <c r="V194" i="8"/>
  <c r="W193" i="8"/>
  <c r="V193" i="8"/>
  <c r="W192" i="8"/>
  <c r="V192" i="8"/>
  <c r="W191" i="8"/>
  <c r="V191" i="8"/>
  <c r="W190" i="8"/>
  <c r="V190" i="8"/>
  <c r="W189" i="8"/>
  <c r="V189" i="8"/>
  <c r="W188" i="8"/>
  <c r="V188" i="8"/>
  <c r="W187" i="8"/>
  <c r="V187" i="8"/>
  <c r="W186" i="8"/>
  <c r="V186" i="8"/>
  <c r="W185" i="8"/>
  <c r="V185" i="8"/>
  <c r="W184" i="8"/>
  <c r="V184" i="8"/>
  <c r="W183" i="8"/>
  <c r="V183" i="8"/>
  <c r="W182" i="8"/>
  <c r="V182" i="8"/>
  <c r="W181" i="8"/>
  <c r="V181" i="8"/>
  <c r="W180" i="8"/>
  <c r="V180" i="8"/>
  <c r="W179" i="8"/>
  <c r="V179" i="8"/>
  <c r="W178" i="8"/>
  <c r="V178" i="8"/>
  <c r="W177" i="8"/>
  <c r="V177" i="8"/>
  <c r="W176" i="8"/>
  <c r="V176" i="8"/>
  <c r="W175" i="8"/>
  <c r="V175" i="8"/>
  <c r="W174" i="8"/>
  <c r="V174" i="8"/>
  <c r="W173" i="8"/>
  <c r="V173" i="8"/>
  <c r="W172" i="8"/>
  <c r="V172" i="8"/>
  <c r="W171" i="8"/>
  <c r="V171" i="8"/>
  <c r="W170" i="8"/>
  <c r="V170" i="8"/>
  <c r="W169" i="8"/>
  <c r="V169" i="8"/>
  <c r="W168" i="8"/>
  <c r="V168" i="8"/>
  <c r="W167" i="8"/>
  <c r="V167" i="8"/>
  <c r="W166" i="8"/>
  <c r="V166" i="8"/>
  <c r="W165" i="8"/>
  <c r="V165" i="8"/>
  <c r="W164" i="8"/>
  <c r="V164" i="8"/>
  <c r="W163" i="8"/>
  <c r="V163" i="8"/>
  <c r="W162" i="8"/>
  <c r="V162" i="8"/>
  <c r="W161" i="8"/>
  <c r="V161" i="8"/>
  <c r="W160" i="8"/>
  <c r="V160" i="8"/>
  <c r="W159" i="8"/>
  <c r="V159" i="8"/>
  <c r="W158" i="8"/>
  <c r="V158" i="8"/>
  <c r="W157" i="8"/>
  <c r="V157" i="8"/>
  <c r="W156" i="8"/>
  <c r="V156" i="8"/>
  <c r="W155" i="8"/>
  <c r="V155" i="8"/>
  <c r="W154" i="8"/>
  <c r="V154" i="8"/>
  <c r="W153" i="8"/>
  <c r="V153" i="8"/>
  <c r="W152" i="8"/>
  <c r="V152" i="8"/>
  <c r="W151" i="8"/>
  <c r="V151" i="8"/>
  <c r="W150" i="8"/>
  <c r="V150" i="8"/>
  <c r="W149" i="8"/>
  <c r="V149" i="8"/>
  <c r="W148" i="8"/>
  <c r="V148" i="8"/>
  <c r="W147" i="8"/>
  <c r="V147" i="8"/>
  <c r="W146" i="8"/>
  <c r="V146" i="8"/>
  <c r="W145" i="8"/>
  <c r="V145" i="8"/>
  <c r="W144" i="8"/>
  <c r="V144" i="8"/>
  <c r="W143" i="8"/>
  <c r="V143" i="8"/>
  <c r="W142" i="8"/>
  <c r="V142" i="8"/>
  <c r="W141" i="8"/>
  <c r="V141" i="8"/>
  <c r="W140" i="8"/>
  <c r="V140" i="8"/>
  <c r="W139" i="8"/>
  <c r="V139" i="8"/>
  <c r="W138" i="8"/>
  <c r="V138" i="8"/>
  <c r="W137" i="8"/>
  <c r="V137" i="8"/>
  <c r="W136" i="8"/>
  <c r="V136" i="8"/>
  <c r="W135" i="8"/>
  <c r="V135" i="8"/>
  <c r="W134" i="8"/>
  <c r="V134" i="8"/>
  <c r="W133" i="8"/>
  <c r="V133" i="8"/>
  <c r="W132" i="8"/>
  <c r="V132" i="8"/>
  <c r="W131" i="8"/>
  <c r="V131" i="8"/>
  <c r="W130" i="8"/>
  <c r="V130" i="8"/>
  <c r="W129" i="8"/>
  <c r="V129" i="8"/>
  <c r="W128" i="8"/>
  <c r="V128" i="8"/>
  <c r="W127" i="8"/>
  <c r="V127" i="8"/>
  <c r="W126" i="8"/>
  <c r="W125" i="8"/>
  <c r="W124" i="8"/>
  <c r="W123" i="8"/>
  <c r="W122" i="8"/>
  <c r="W121" i="8"/>
  <c r="W120" i="8"/>
  <c r="W119" i="8"/>
  <c r="W114" i="8"/>
  <c r="W113" i="8"/>
  <c r="W112" i="8"/>
  <c r="W111" i="8"/>
  <c r="W110" i="8"/>
  <c r="W109" i="8"/>
  <c r="W108" i="8"/>
  <c r="W107" i="8"/>
  <c r="W106" i="8"/>
  <c r="W18" i="8"/>
  <c r="W17" i="8"/>
  <c r="W16" i="8"/>
  <c r="W15" i="8"/>
  <c r="W14" i="8"/>
  <c r="W13" i="8"/>
  <c r="W12" i="8"/>
  <c r="W11" i="8"/>
  <c r="W10" i="8"/>
  <c r="W9" i="8"/>
  <c r="W8" i="8"/>
  <c r="W7" i="8"/>
  <c r="W6" i="8"/>
  <c r="W5" i="8"/>
  <c r="W4" i="8"/>
  <c r="W3" i="8"/>
  <c r="AB8" i="3"/>
  <c r="W68" i="4"/>
  <c r="V68" i="4"/>
  <c r="W63" i="4"/>
  <c r="V63" i="4"/>
  <c r="L64" i="4" s="1"/>
  <c r="L65" i="4" s="1"/>
  <c r="W58" i="4"/>
  <c r="V58" i="4"/>
  <c r="W53" i="4"/>
  <c r="V53" i="4"/>
  <c r="W48" i="4"/>
  <c r="V48" i="4"/>
  <c r="K49" i="4" s="1"/>
  <c r="K50" i="4" s="1"/>
  <c r="W43" i="4"/>
  <c r="V43" i="4"/>
  <c r="K44" i="4" s="1"/>
  <c r="K45" i="4" s="1"/>
  <c r="W38" i="4"/>
  <c r="V38" i="4"/>
  <c r="W33" i="4"/>
  <c r="V33" i="4"/>
  <c r="W28" i="4"/>
  <c r="K29" i="4" s="1"/>
  <c r="K30" i="4" s="1"/>
  <c r="V28" i="4"/>
  <c r="W23" i="4"/>
  <c r="V23" i="4"/>
  <c r="W18" i="4"/>
  <c r="V18" i="4"/>
  <c r="W13" i="4"/>
  <c r="V13" i="4"/>
  <c r="L14" i="4" s="1"/>
  <c r="L15" i="4" s="1"/>
  <c r="W8" i="4"/>
  <c r="V8" i="4"/>
  <c r="D9" i="4" s="1"/>
  <c r="D10" i="4" s="1"/>
  <c r="W3" i="4"/>
  <c r="V3" i="4"/>
  <c r="AB128" i="3"/>
  <c r="Y127" i="3"/>
  <c r="X127" i="3"/>
  <c r="Z127" i="3" s="1"/>
  <c r="AA127" i="3" s="1"/>
  <c r="W127" i="3"/>
  <c r="W126" i="3"/>
  <c r="W125" i="3"/>
  <c r="W124" i="3"/>
  <c r="W123" i="3"/>
  <c r="W122" i="3"/>
  <c r="AB119" i="3"/>
  <c r="Y118" i="3"/>
  <c r="X118" i="3"/>
  <c r="W118" i="3"/>
  <c r="W117" i="3"/>
  <c r="W116" i="3"/>
  <c r="W115" i="3"/>
  <c r="AB112" i="3"/>
  <c r="Y111" i="3"/>
  <c r="X111" i="3"/>
  <c r="Z111" i="3" s="1"/>
  <c r="AA111" i="3" s="1"/>
  <c r="W111" i="3"/>
  <c r="W110" i="3"/>
  <c r="W109" i="3"/>
  <c r="W108" i="3"/>
  <c r="W107" i="3"/>
  <c r="W106" i="3"/>
  <c r="W105" i="3"/>
  <c r="AB102" i="3"/>
  <c r="Y101" i="3"/>
  <c r="X101" i="3"/>
  <c r="W101" i="3"/>
  <c r="W100" i="3"/>
  <c r="W99" i="3"/>
  <c r="W98" i="3"/>
  <c r="W97" i="3"/>
  <c r="W96" i="3"/>
  <c r="W95" i="3"/>
  <c r="W94" i="3"/>
  <c r="AB91" i="3"/>
  <c r="Y90" i="3"/>
  <c r="X90" i="3"/>
  <c r="W90" i="3"/>
  <c r="W89" i="3"/>
  <c r="W88" i="3"/>
  <c r="W87" i="3"/>
  <c r="W86" i="3"/>
  <c r="AB83" i="3"/>
  <c r="Y82" i="3"/>
  <c r="X82" i="3"/>
  <c r="Z82" i="3" s="1"/>
  <c r="AA82" i="3" s="1"/>
  <c r="W82" i="3"/>
  <c r="W81" i="3"/>
  <c r="W80" i="3"/>
  <c r="W79" i="3"/>
  <c r="W78" i="3"/>
  <c r="W77" i="3"/>
  <c r="W76" i="3"/>
  <c r="W75" i="3"/>
  <c r="W74" i="3"/>
  <c r="AB71" i="3"/>
  <c r="Y70" i="3"/>
  <c r="X70" i="3"/>
  <c r="Z70" i="3" s="1"/>
  <c r="AA70" i="3" s="1"/>
  <c r="W70" i="3"/>
  <c r="W69" i="3"/>
  <c r="AB66" i="3"/>
  <c r="Y65" i="3"/>
  <c r="X65" i="3"/>
  <c r="W65" i="3"/>
  <c r="W64" i="3"/>
  <c r="W63" i="3"/>
  <c r="W62" i="3"/>
  <c r="W61" i="3"/>
  <c r="AB58" i="3"/>
  <c r="Y57" i="3"/>
  <c r="X57" i="3"/>
  <c r="W57" i="3"/>
  <c r="V57" i="3"/>
  <c r="W56" i="3"/>
  <c r="W55" i="3"/>
  <c r="W54" i="3"/>
  <c r="W53" i="3"/>
  <c r="W52" i="3"/>
  <c r="W51" i="3"/>
  <c r="W50" i="3"/>
  <c r="W49" i="3"/>
  <c r="W48" i="3"/>
  <c r="W47" i="3"/>
  <c r="AB44" i="3"/>
  <c r="Y43" i="3"/>
  <c r="X43" i="3"/>
  <c r="Z43" i="3" s="1"/>
  <c r="AA43" i="3" s="1"/>
  <c r="W43" i="3"/>
  <c r="V43" i="3"/>
  <c r="W42" i="3"/>
  <c r="W41" i="3"/>
  <c r="W40" i="3"/>
  <c r="W39" i="3"/>
  <c r="W38" i="3"/>
  <c r="W37" i="3"/>
  <c r="AB34" i="3"/>
  <c r="Y33" i="3"/>
  <c r="X33" i="3"/>
  <c r="W33" i="3"/>
  <c r="V33" i="3"/>
  <c r="W32" i="3"/>
  <c r="W31" i="3"/>
  <c r="AB28" i="3"/>
  <c r="Y27" i="3"/>
  <c r="X27" i="3"/>
  <c r="Z27" i="3" s="1"/>
  <c r="AA27" i="3" s="1"/>
  <c r="W27" i="3"/>
  <c r="V27" i="3"/>
  <c r="W26" i="3"/>
  <c r="W25" i="3"/>
  <c r="W24" i="3"/>
  <c r="W23" i="3"/>
  <c r="W22" i="3"/>
  <c r="W21" i="3"/>
  <c r="W20" i="3"/>
  <c r="Y16" i="3"/>
  <c r="X16" i="3"/>
  <c r="W16" i="3"/>
  <c r="V16" i="3"/>
  <c r="W15" i="3"/>
  <c r="W14" i="3"/>
  <c r="W13" i="3"/>
  <c r="W12" i="3"/>
  <c r="W11" i="3"/>
  <c r="V8" i="3" s="1"/>
  <c r="Y7" i="3"/>
  <c r="X7" i="3"/>
  <c r="W7" i="3"/>
  <c r="V7" i="3"/>
  <c r="W6" i="3"/>
  <c r="W5" i="3"/>
  <c r="W4" i="3"/>
  <c r="W3" i="3"/>
  <c r="V101" i="2"/>
  <c r="U99" i="2"/>
  <c r="L99" i="2"/>
  <c r="K99" i="2"/>
  <c r="G99" i="2"/>
  <c r="V99" i="2" s="1"/>
  <c r="U98" i="2"/>
  <c r="L98" i="2"/>
  <c r="K98" i="2"/>
  <c r="G98" i="2"/>
  <c r="U97" i="2"/>
  <c r="L97" i="2"/>
  <c r="K97" i="2"/>
  <c r="G97" i="2"/>
  <c r="U96" i="2"/>
  <c r="L96" i="2"/>
  <c r="K96" i="2"/>
  <c r="G96" i="2"/>
  <c r="V96" i="2" s="1"/>
  <c r="U95" i="2"/>
  <c r="L95" i="2"/>
  <c r="K95" i="2"/>
  <c r="G95" i="2"/>
  <c r="V94" i="2"/>
  <c r="U92" i="2"/>
  <c r="L92" i="2"/>
  <c r="K92" i="2"/>
  <c r="G92" i="2"/>
  <c r="U91" i="2"/>
  <c r="L91" i="2"/>
  <c r="K91" i="2"/>
  <c r="G91" i="2"/>
  <c r="U90" i="2"/>
  <c r="U93" i="2" s="1"/>
  <c r="L90" i="2"/>
  <c r="K90" i="2"/>
  <c r="K93" i="2" s="1"/>
  <c r="G90" i="2"/>
  <c r="V89" i="2"/>
  <c r="U87" i="2"/>
  <c r="L87" i="2"/>
  <c r="K87" i="2"/>
  <c r="G87" i="2"/>
  <c r="U86" i="2"/>
  <c r="L86" i="2"/>
  <c r="K86" i="2"/>
  <c r="G86" i="2"/>
  <c r="U85" i="2"/>
  <c r="L85" i="2"/>
  <c r="K85" i="2"/>
  <c r="G85" i="2"/>
  <c r="U84" i="2"/>
  <c r="L84" i="2"/>
  <c r="V84" i="2" s="1"/>
  <c r="K84" i="2"/>
  <c r="G84" i="2"/>
  <c r="U83" i="2"/>
  <c r="L83" i="2"/>
  <c r="K83" i="2"/>
  <c r="G83" i="2"/>
  <c r="U82" i="2"/>
  <c r="L82" i="2"/>
  <c r="K82" i="2"/>
  <c r="G82" i="2"/>
  <c r="V81" i="2"/>
  <c r="U79" i="2"/>
  <c r="L79" i="2"/>
  <c r="K79" i="2"/>
  <c r="G79" i="2"/>
  <c r="U78" i="2"/>
  <c r="L78" i="2"/>
  <c r="K78" i="2"/>
  <c r="G78" i="2"/>
  <c r="U77" i="2"/>
  <c r="L77" i="2"/>
  <c r="K77" i="2"/>
  <c r="G77" i="2"/>
  <c r="V77" i="2" s="1"/>
  <c r="U76" i="2"/>
  <c r="L76" i="2"/>
  <c r="K76" i="2"/>
  <c r="G76" i="2"/>
  <c r="U75" i="2"/>
  <c r="L75" i="2"/>
  <c r="K75" i="2"/>
  <c r="G75" i="2"/>
  <c r="U74" i="2"/>
  <c r="L74" i="2"/>
  <c r="K74" i="2"/>
  <c r="G74" i="2"/>
  <c r="U73" i="2"/>
  <c r="L73" i="2"/>
  <c r="L80" i="2" s="1"/>
  <c r="K73" i="2"/>
  <c r="G73" i="2"/>
  <c r="V73" i="2" s="1"/>
  <c r="V72" i="2"/>
  <c r="U70" i="2"/>
  <c r="V70" i="2" s="1"/>
  <c r="L70" i="2"/>
  <c r="K70" i="2"/>
  <c r="G70" i="2"/>
  <c r="U69" i="2"/>
  <c r="L69" i="2"/>
  <c r="K69" i="2"/>
  <c r="G69" i="2"/>
  <c r="U68" i="2"/>
  <c r="L68" i="2"/>
  <c r="K68" i="2"/>
  <c r="G68" i="2"/>
  <c r="U67" i="2"/>
  <c r="L67" i="2"/>
  <c r="K67" i="2"/>
  <c r="K71" i="2" s="1"/>
  <c r="G67" i="2"/>
  <c r="G71" i="2" s="1"/>
  <c r="V66" i="2"/>
  <c r="U64" i="2"/>
  <c r="L64" i="2"/>
  <c r="K64" i="2"/>
  <c r="G64" i="2"/>
  <c r="V64" i="2" s="1"/>
  <c r="U63" i="2"/>
  <c r="L63" i="2"/>
  <c r="K63" i="2"/>
  <c r="G63" i="2"/>
  <c r="V63" i="2" s="1"/>
  <c r="U62" i="2"/>
  <c r="L62" i="2"/>
  <c r="K62" i="2"/>
  <c r="G62" i="2"/>
  <c r="V62" i="2" s="1"/>
  <c r="U61" i="2"/>
  <c r="L61" i="2"/>
  <c r="K61" i="2"/>
  <c r="G61" i="2"/>
  <c r="U60" i="2"/>
  <c r="L60" i="2"/>
  <c r="K60" i="2"/>
  <c r="G60" i="2"/>
  <c r="V60" i="2" s="1"/>
  <c r="U59" i="2"/>
  <c r="L59" i="2"/>
  <c r="K59" i="2"/>
  <c r="G59" i="2"/>
  <c r="U58" i="2"/>
  <c r="L58" i="2"/>
  <c r="K58" i="2"/>
  <c r="G58" i="2"/>
  <c r="V58" i="2" s="1"/>
  <c r="U57" i="2"/>
  <c r="L57" i="2"/>
  <c r="L65" i="2" s="1"/>
  <c r="K57" i="2"/>
  <c r="G57" i="2"/>
  <c r="V56" i="2"/>
  <c r="U54" i="2"/>
  <c r="L54" i="2"/>
  <c r="K54" i="2"/>
  <c r="G54" i="2"/>
  <c r="V53" i="2"/>
  <c r="U51" i="2"/>
  <c r="L51" i="2"/>
  <c r="K51" i="2"/>
  <c r="G51" i="2"/>
  <c r="U50" i="2"/>
  <c r="L50" i="2"/>
  <c r="K50" i="2"/>
  <c r="G50" i="2"/>
  <c r="U49" i="2"/>
  <c r="L49" i="2"/>
  <c r="K49" i="2"/>
  <c r="G49" i="2"/>
  <c r="U48" i="2"/>
  <c r="L48" i="2"/>
  <c r="K48" i="2"/>
  <c r="G48" i="2"/>
  <c r="V47" i="2"/>
  <c r="U45" i="2"/>
  <c r="L45" i="2"/>
  <c r="K45" i="2"/>
  <c r="G45" i="2"/>
  <c r="U44" i="2"/>
  <c r="L44" i="2"/>
  <c r="K44" i="2"/>
  <c r="G44" i="2"/>
  <c r="U43" i="2"/>
  <c r="L43" i="2"/>
  <c r="K43" i="2"/>
  <c r="G43" i="2"/>
  <c r="U42" i="2"/>
  <c r="L42" i="2"/>
  <c r="K42" i="2"/>
  <c r="G42" i="2"/>
  <c r="U41" i="2"/>
  <c r="L41" i="2"/>
  <c r="K41" i="2"/>
  <c r="G41" i="2"/>
  <c r="U40" i="2"/>
  <c r="L40" i="2"/>
  <c r="K40" i="2"/>
  <c r="G40" i="2"/>
  <c r="U39" i="2"/>
  <c r="L39" i="2"/>
  <c r="K39" i="2"/>
  <c r="G39" i="2"/>
  <c r="U38" i="2"/>
  <c r="L38" i="2"/>
  <c r="K38" i="2"/>
  <c r="G38" i="2"/>
  <c r="V38" i="2" s="1"/>
  <c r="U37" i="2"/>
  <c r="L37" i="2"/>
  <c r="K37" i="2"/>
  <c r="G37" i="2"/>
  <c r="V37" i="2" s="1"/>
  <c r="U36" i="2"/>
  <c r="L36" i="2"/>
  <c r="K36" i="2"/>
  <c r="G36" i="2"/>
  <c r="V36" i="2" s="1"/>
  <c r="V35" i="2"/>
  <c r="U33" i="2"/>
  <c r="L33" i="2"/>
  <c r="K33" i="2"/>
  <c r="G33" i="2"/>
  <c r="U32" i="2"/>
  <c r="L32" i="2"/>
  <c r="K32" i="2"/>
  <c r="G32" i="2"/>
  <c r="U31" i="2"/>
  <c r="L31" i="2"/>
  <c r="K31" i="2"/>
  <c r="G31" i="2"/>
  <c r="U30" i="2"/>
  <c r="L30" i="2"/>
  <c r="K30" i="2"/>
  <c r="G30" i="2"/>
  <c r="U29" i="2"/>
  <c r="L29" i="2"/>
  <c r="K29" i="2"/>
  <c r="G29" i="2"/>
  <c r="U28" i="2"/>
  <c r="L28" i="2"/>
  <c r="K28" i="2"/>
  <c r="G28" i="2"/>
  <c r="V27" i="2"/>
  <c r="U25" i="2"/>
  <c r="L25" i="2"/>
  <c r="K25" i="2"/>
  <c r="G25" i="2"/>
  <c r="U24" i="2"/>
  <c r="U26" i="2" s="1"/>
  <c r="L24" i="2"/>
  <c r="L26" i="2" s="1"/>
  <c r="K24" i="2"/>
  <c r="G24" i="2"/>
  <c r="V23" i="2"/>
  <c r="U21" i="2"/>
  <c r="L21" i="2"/>
  <c r="K21" i="2"/>
  <c r="G21" i="2"/>
  <c r="U20" i="2"/>
  <c r="L20" i="2"/>
  <c r="K20" i="2"/>
  <c r="G20" i="2"/>
  <c r="U19" i="2"/>
  <c r="L19" i="2"/>
  <c r="K19" i="2"/>
  <c r="G19" i="2"/>
  <c r="U18" i="2"/>
  <c r="L18" i="2"/>
  <c r="K18" i="2"/>
  <c r="G18" i="2"/>
  <c r="U17" i="2"/>
  <c r="L17" i="2"/>
  <c r="K17" i="2"/>
  <c r="G17" i="2"/>
  <c r="U16" i="2"/>
  <c r="L16" i="2"/>
  <c r="K16" i="2"/>
  <c r="G16" i="2"/>
  <c r="U15" i="2"/>
  <c r="L15" i="2"/>
  <c r="K15" i="2"/>
  <c r="G15" i="2"/>
  <c r="G22" i="2" s="1"/>
  <c r="V14" i="2"/>
  <c r="L13" i="2"/>
  <c r="K13" i="2"/>
  <c r="G13" i="2"/>
  <c r="U12" i="2"/>
  <c r="V12" i="2" s="1"/>
  <c r="U11" i="2"/>
  <c r="V11" i="2" s="1"/>
  <c r="U10" i="2"/>
  <c r="V10" i="2" s="1"/>
  <c r="U9" i="2"/>
  <c r="V8" i="2"/>
  <c r="U8" i="2"/>
  <c r="V7" i="2"/>
  <c r="U6" i="2"/>
  <c r="L6" i="2"/>
  <c r="K6" i="2"/>
  <c r="V5" i="2"/>
  <c r="V4" i="2"/>
  <c r="V3" i="2"/>
  <c r="V2" i="2"/>
  <c r="G69" i="4" l="1"/>
  <c r="G70" i="4" s="1"/>
  <c r="D59" i="4"/>
  <c r="D60" i="4" s="1"/>
  <c r="Z57" i="3"/>
  <c r="AA57" i="3" s="1"/>
  <c r="Z90" i="3"/>
  <c r="AA90" i="3" s="1"/>
  <c r="Z7" i="3"/>
  <c r="AA7" i="3" s="1"/>
  <c r="Z101" i="3"/>
  <c r="AA101" i="3" s="1"/>
  <c r="V6" i="2"/>
  <c r="V98" i="2"/>
  <c r="K52" i="2"/>
  <c r="L71" i="2"/>
  <c r="V42" i="2"/>
  <c r="K22" i="2"/>
  <c r="U52" i="2"/>
  <c r="K26" i="2"/>
  <c r="V49" i="2"/>
  <c r="L100" i="2"/>
  <c r="U13" i="2"/>
  <c r="V17" i="2"/>
  <c r="V19" i="2"/>
  <c r="V21" i="2"/>
  <c r="V41" i="2"/>
  <c r="V46" i="2" s="1"/>
  <c r="V48" i="2"/>
  <c r="V54" i="2"/>
  <c r="V55" i="2" s="1"/>
  <c r="U65" i="2"/>
  <c r="V69" i="2"/>
  <c r="V76" i="2"/>
  <c r="V82" i="2"/>
  <c r="V86" i="2"/>
  <c r="V25" i="2"/>
  <c r="V28" i="2"/>
  <c r="V34" i="2" s="1"/>
  <c r="V30" i="2"/>
  <c r="V32" i="2"/>
  <c r="G34" i="2"/>
  <c r="V45" i="2"/>
  <c r="K88" i="2"/>
  <c r="V90" i="2"/>
  <c r="V92" i="2"/>
  <c r="U100" i="2"/>
  <c r="Z33" i="3"/>
  <c r="AA33" i="3" s="1"/>
  <c r="Z118" i="3"/>
  <c r="AA118" i="3" s="1"/>
  <c r="K9" i="4"/>
  <c r="K10" i="4" s="1"/>
  <c r="U29" i="4"/>
  <c r="U30" i="4" s="1"/>
  <c r="L44" i="4"/>
  <c r="L45" i="4" s="1"/>
  <c r="L9" i="4"/>
  <c r="L10" i="4" s="1"/>
  <c r="U44" i="4"/>
  <c r="U45" i="4" s="1"/>
  <c r="Z65" i="3"/>
  <c r="AA65" i="3" s="1"/>
  <c r="K34" i="2"/>
  <c r="L34" i="2"/>
  <c r="V39" i="2"/>
  <c r="U71" i="2"/>
  <c r="V16" i="2"/>
  <c r="V18" i="2"/>
  <c r="V20" i="2"/>
  <c r="U34" i="2"/>
  <c r="K46" i="2"/>
  <c r="V40" i="2"/>
  <c r="V43" i="2"/>
  <c r="V68" i="2"/>
  <c r="D14" i="4"/>
  <c r="D15" i="4" s="1"/>
  <c r="K100" i="2"/>
  <c r="U22" i="2"/>
  <c r="L93" i="2"/>
  <c r="V24" i="2"/>
  <c r="V29" i="2"/>
  <c r="V31" i="2"/>
  <c r="V33" i="2"/>
  <c r="L46" i="2"/>
  <c r="V44" i="2"/>
  <c r="V51" i="2"/>
  <c r="G65" i="2"/>
  <c r="U80" i="2"/>
  <c r="V79" i="2"/>
  <c r="V83" i="2"/>
  <c r="V85" i="2"/>
  <c r="V87" i="2"/>
  <c r="V91" i="2"/>
  <c r="Z16" i="3"/>
  <c r="AA16" i="3" s="1"/>
  <c r="L19" i="4"/>
  <c r="L20" i="4" s="1"/>
  <c r="U39" i="4"/>
  <c r="U40" i="4" s="1"/>
  <c r="L49" i="4"/>
  <c r="L50" i="4" s="1"/>
  <c r="D64" i="4"/>
  <c r="D65" i="4" s="1"/>
  <c r="K80" i="2"/>
  <c r="U88" i="2"/>
  <c r="L22" i="2"/>
  <c r="U46" i="2"/>
  <c r="G52" i="2"/>
  <c r="V50" i="2"/>
  <c r="L52" i="2"/>
  <c r="K65" i="2"/>
  <c r="V59" i="2"/>
  <c r="V61" i="2"/>
  <c r="V74" i="2"/>
  <c r="V78" i="2"/>
  <c r="V95" i="2"/>
  <c r="V97" i="2"/>
  <c r="U49" i="4"/>
  <c r="U50" i="4" s="1"/>
  <c r="U69" i="4"/>
  <c r="U70" i="4" s="1"/>
  <c r="L54" i="4"/>
  <c r="L55" i="4" s="1"/>
  <c r="D19" i="4"/>
  <c r="D20" i="4" s="1"/>
  <c r="L4" i="4"/>
  <c r="L5" i="4" s="1"/>
  <c r="K24" i="4"/>
  <c r="K25" i="4" s="1"/>
  <c r="G59" i="4"/>
  <c r="G60" i="4" s="1"/>
  <c r="K59" i="4"/>
  <c r="K60" i="4" s="1"/>
  <c r="L59" i="4"/>
  <c r="L60" i="4" s="1"/>
  <c r="U34" i="4"/>
  <c r="U35" i="4" s="1"/>
  <c r="U59" i="4"/>
  <c r="U60" i="4" s="1"/>
  <c r="G9" i="4"/>
  <c r="G10" i="4" s="1"/>
  <c r="Y10" i="4" s="1"/>
  <c r="G64" i="4"/>
  <c r="G65" i="4" s="1"/>
  <c r="Y65" i="4" s="1"/>
  <c r="U9" i="4"/>
  <c r="U10" i="4" s="1"/>
  <c r="K64" i="4"/>
  <c r="K65" i="4" s="1"/>
  <c r="K14" i="4"/>
  <c r="K15" i="4" s="1"/>
  <c r="U64" i="4"/>
  <c r="U65" i="4" s="1"/>
  <c r="U14" i="4"/>
  <c r="U15" i="4" s="1"/>
  <c r="G14" i="4"/>
  <c r="G15" i="4" s="1"/>
  <c r="Y15" i="4"/>
  <c r="D39" i="4"/>
  <c r="D40" i="4" s="1"/>
  <c r="L24" i="4"/>
  <c r="L25" i="4" s="1"/>
  <c r="G39" i="4"/>
  <c r="G40" i="4" s="1"/>
  <c r="Y40" i="4" s="1"/>
  <c r="U24" i="4"/>
  <c r="U25" i="4" s="1"/>
  <c r="K39" i="4"/>
  <c r="K40" i="4" s="1"/>
  <c r="D54" i="4"/>
  <c r="D55" i="4" s="1"/>
  <c r="G24" i="4"/>
  <c r="G25" i="4" s="1"/>
  <c r="L39" i="4"/>
  <c r="L40" i="4" s="1"/>
  <c r="K54" i="4"/>
  <c r="K55" i="4" s="1"/>
  <c r="D69" i="4"/>
  <c r="D70" i="4" s="1"/>
  <c r="K4" i="4"/>
  <c r="K5" i="4" s="1"/>
  <c r="K19" i="4"/>
  <c r="K20" i="4" s="1"/>
  <c r="D34" i="4"/>
  <c r="D35" i="4" s="1"/>
  <c r="U54" i="4"/>
  <c r="U55" i="4" s="1"/>
  <c r="K69" i="4"/>
  <c r="K70" i="4" s="1"/>
  <c r="G54" i="4"/>
  <c r="G55" i="4" s="1"/>
  <c r="D4" i="4"/>
  <c r="D5" i="4" s="1"/>
  <c r="L69" i="4"/>
  <c r="L70" i="4" s="1"/>
  <c r="U4" i="4"/>
  <c r="U5" i="4" s="1"/>
  <c r="U19" i="4"/>
  <c r="U20" i="4" s="1"/>
  <c r="K34" i="4"/>
  <c r="K35" i="4" s="1"/>
  <c r="D49" i="4"/>
  <c r="D50" i="4" s="1"/>
  <c r="G19" i="4"/>
  <c r="G20" i="4" s="1"/>
  <c r="G34" i="4"/>
  <c r="G35" i="4" s="1"/>
  <c r="L34" i="4"/>
  <c r="L35" i="4" s="1"/>
  <c r="G49" i="4"/>
  <c r="G50" i="4" s="1"/>
  <c r="Y50" i="4" s="1"/>
  <c r="D24" i="4"/>
  <c r="D25" i="4" s="1"/>
  <c r="G29" i="4"/>
  <c r="G30" i="4" s="1"/>
  <c r="D44" i="4"/>
  <c r="D45" i="4" s="1"/>
  <c r="L29" i="4"/>
  <c r="L30" i="4" s="1"/>
  <c r="G44" i="4"/>
  <c r="G45" i="4" s="1"/>
  <c r="D29" i="4"/>
  <c r="D30" i="4" s="1"/>
  <c r="V93" i="2"/>
  <c r="V52" i="2"/>
  <c r="G26" i="2"/>
  <c r="G100" i="2"/>
  <c r="G46" i="2"/>
  <c r="V15" i="2"/>
  <c r="G88" i="2"/>
  <c r="V67" i="2"/>
  <c r="V71" i="2" s="1"/>
  <c r="V57" i="2"/>
  <c r="V65" i="2" s="1"/>
  <c r="G93" i="2"/>
  <c r="L88" i="2"/>
  <c r="V9" i="2"/>
  <c r="V13" i="2" s="1"/>
  <c r="V75" i="2"/>
  <c r="G80" i="2"/>
  <c r="X60" i="4" l="1"/>
  <c r="X30" i="4"/>
  <c r="Y45" i="4"/>
  <c r="X15" i="4"/>
  <c r="V100" i="2"/>
  <c r="V22" i="2"/>
  <c r="Y20" i="4"/>
  <c r="V88" i="2"/>
  <c r="V80" i="2"/>
  <c r="X65" i="4"/>
  <c r="X10" i="4"/>
  <c r="X70" i="4"/>
  <c r="Y60" i="4"/>
  <c r="Y25" i="4"/>
  <c r="Y35" i="4"/>
  <c r="Y55" i="4"/>
  <c r="X5" i="4"/>
  <c r="X40" i="4"/>
  <c r="X45" i="4"/>
  <c r="X25" i="4"/>
  <c r="X35" i="4"/>
  <c r="Y30" i="4"/>
  <c r="X55" i="4"/>
  <c r="X50" i="4"/>
  <c r="X20" i="4"/>
  <c r="Y70" i="4"/>
</calcChain>
</file>

<file path=xl/sharedStrings.xml><?xml version="1.0" encoding="utf-8"?>
<sst xmlns="http://schemas.openxmlformats.org/spreadsheetml/2006/main" count="1291" uniqueCount="98">
  <si>
    <t>site</t>
  </si>
  <si>
    <t>pole_no</t>
  </si>
  <si>
    <t>RANGE</t>
  </si>
  <si>
    <t>NOTES</t>
  </si>
  <si>
    <t>F2</t>
  </si>
  <si>
    <t>Bent from ground Aug18</t>
  </si>
  <si>
    <t>Jan20 - only pole showing subsidence (4cm)</t>
  </si>
  <si>
    <t>Debris inside pipe Mar19</t>
  </si>
  <si>
    <t>F3</t>
  </si>
  <si>
    <t>Pipe pulled out Aug18</t>
  </si>
  <si>
    <t>F4</t>
  </si>
  <si>
    <t>Bent Apr19</t>
  </si>
  <si>
    <r>
      <rPr>
        <b/>
        <sz val="11"/>
        <color theme="1"/>
        <rFont val="Calibri"/>
        <family val="2"/>
        <scheme val="minor"/>
      </rPr>
      <t>B</t>
    </r>
    <r>
      <rPr>
        <sz val="11"/>
        <color theme="1"/>
        <rFont val="Calibri"/>
        <family val="2"/>
        <scheme val="minor"/>
      </rPr>
      <t>ent Nov18</t>
    </r>
  </si>
  <si>
    <t>B5</t>
  </si>
  <si>
    <t>F6</t>
  </si>
  <si>
    <t>NOTE - variable complex movement at this site, poles do not necessarily correspond with trends. Highly variable despite low peat depth (&lt;50cm). WT largely within clay substrate. Include or exclude as necessary.</t>
  </si>
  <si>
    <t>Bent Nov18</t>
  </si>
  <si>
    <t>F7</t>
  </si>
  <si>
    <t>Bent Mar19</t>
  </si>
  <si>
    <t>WT below pipe. Pipe depth reported.</t>
  </si>
  <si>
    <t>F8</t>
  </si>
  <si>
    <t>B12</t>
  </si>
  <si>
    <t>B13</t>
  </si>
  <si>
    <t>Larger change, but in same direction as other poles</t>
  </si>
  <si>
    <t>OP14</t>
  </si>
  <si>
    <t>OP15</t>
  </si>
  <si>
    <t>OP16</t>
  </si>
  <si>
    <t>OP17</t>
  </si>
  <si>
    <t>OP18</t>
  </si>
  <si>
    <t xml:space="preserve"> </t>
  </si>
  <si>
    <t>NET SUBSIDENCE (M)</t>
  </si>
  <si>
    <t>Gradient</t>
  </si>
  <si>
    <t>Intercept</t>
  </si>
  <si>
    <t>AVERAGE SUBSIDENCE (M)</t>
  </si>
  <si>
    <t>SUBSIDENCE RATE (M/YR)</t>
  </si>
  <si>
    <t>AVERAGE WATER TABLE HEIGHT (M)</t>
  </si>
  <si>
    <t>Slope</t>
  </si>
  <si>
    <t>Surface height on slope</t>
  </si>
  <si>
    <t>NOTE - Aug18 measurements all show substantial uplift into Nov18. To treat with caution.</t>
  </si>
  <si>
    <t>NOTE - Aug18 measurements all show substantial uplift into Nov18. To treat with caution</t>
  </si>
  <si>
    <t>Sheet name</t>
  </si>
  <si>
    <t>Description</t>
  </si>
  <si>
    <t>Jul18Jan20cm_withnotes</t>
  </si>
  <si>
    <t>Jul18Jan20_m_tidy</t>
  </si>
  <si>
    <t>Site_average (cm)</t>
  </si>
  <si>
    <t>Water_Table (cm)</t>
  </si>
  <si>
    <t>Site_average (m)</t>
  </si>
  <si>
    <t>Water_Table (m)</t>
  </si>
  <si>
    <t>Detrended (m)</t>
  </si>
  <si>
    <t>Surface oscillation magnitude (whole period) (m)</t>
  </si>
  <si>
    <t>Surface oscillation magnitude (Aug-Dec 2018) (m)</t>
  </si>
  <si>
    <t>Surface_oscillation_magnitude</t>
  </si>
  <si>
    <t>Peat surface oscillation magnitude and water table range after detrending by subtracting the background linear trend</t>
  </si>
  <si>
    <t>Site number</t>
  </si>
  <si>
    <t>Sample depth (cm)</t>
  </si>
  <si>
    <t>Sample number</t>
  </si>
  <si>
    <t>Tmax(°C)</t>
  </si>
  <si>
    <t>TOC(%)</t>
  </si>
  <si>
    <t>HI</t>
  </si>
  <si>
    <t>OI</t>
  </si>
  <si>
    <t>I index</t>
  </si>
  <si>
    <t>R index</t>
  </si>
  <si>
    <t>(Duplicate)</t>
  </si>
  <si>
    <t>Site no</t>
  </si>
  <si>
    <t>Bulk density (g/cm3)</t>
  </si>
  <si>
    <t>C stock (g/cm2)</t>
  </si>
  <si>
    <t>Gapfilled C stock (g/cm2)</t>
  </si>
  <si>
    <t>Bulk_density</t>
  </si>
  <si>
    <t>RockEval_parameters</t>
  </si>
  <si>
    <t>RockEval parameter values per sample. Samples were chosen before and after clear changes in bulk density along the peat profile to best capture events with the greatest magnitude of change.</t>
  </si>
  <si>
    <t>Bulk density and carbon stock measurements per 10 cm sample.</t>
  </si>
  <si>
    <t>Data recording of change in peat surface elevation over time per subsidence pole over the measurement period. Incomplete records or lost poles were removed from the record. Notes are included on field context or any measurements that were impacted by damaged poles or other issues. Water table data from piezometers also included.</t>
  </si>
  <si>
    <t>Cleaned data after removal of impacted records (see sheet titled 'Jul18_Jan20cm_withnotes').</t>
  </si>
  <si>
    <t>RAW DATA FILES: Manual peat surface elevation and water table measurements</t>
  </si>
  <si>
    <t>Day(peat)</t>
  </si>
  <si>
    <t>Date</t>
  </si>
  <si>
    <t>Time</t>
  </si>
  <si>
    <t>Adjusted water table height (cm)</t>
  </si>
  <si>
    <t>Adjusted water table height (m)</t>
  </si>
  <si>
    <t>Day (Peat)</t>
  </si>
  <si>
    <t>Water table level relative to peat surface (cm)</t>
  </si>
  <si>
    <t>Peat surface elevation relative to datum (cm)</t>
  </si>
  <si>
    <t>Water table level relative to peat surface (m)</t>
  </si>
  <si>
    <t>Peat surface elevation relative to datum (m)</t>
  </si>
  <si>
    <t>SITE 13 (fire-affected scrubland)</t>
  </si>
  <si>
    <t>SITE 18 (smallholder oil palm)</t>
  </si>
  <si>
    <t>Adjusted water table level (cm)</t>
  </si>
  <si>
    <t>Adjusted water table level (m)</t>
  </si>
  <si>
    <t>SITE 6 (degraded forest)</t>
  </si>
  <si>
    <t>Peat surface elevation relative to datum(m)</t>
  </si>
  <si>
    <t>Automated_datasets</t>
  </si>
  <si>
    <t>Time series data of peat surface elevation and water table level from automated time lapse cameras systems and water table loggers.</t>
  </si>
  <si>
    <t>Peat condition class</t>
  </si>
  <si>
    <t>Degrading forest</t>
  </si>
  <si>
    <t>Fire-affected scrubland</t>
  </si>
  <si>
    <t>Smallholder oil palm</t>
  </si>
  <si>
    <t>Recovering forest</t>
  </si>
  <si>
    <t>Degraded forest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</si>
</sst>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2"/>
      <color theme="1"/>
      <name val="Calibri"/>
      <family val="2"/>
      <scheme val="minor"/>
    </font>
    <font>
      <b/>
      <sz val="11"/>
      <color theme="1"/>
      <name val="Calibri"/>
      <family val="2"/>
      <scheme val="minor"/>
    </font>
    <font>
      <b/>
      <i/>
      <sz val="11"/>
      <color theme="1"/>
      <name val="Calibri"/>
      <family val="2"/>
      <scheme val="minor"/>
    </font>
    <font>
      <sz val="11"/>
      <name val="Calibri"/>
      <family val="2"/>
      <scheme val="minor"/>
    </font>
    <font>
      <i/>
      <sz val="11"/>
      <color theme="1"/>
      <name val="Calibri"/>
      <family val="2"/>
      <scheme val="minor"/>
    </font>
    <font>
      <b/>
      <sz val="11"/>
      <color rgb="FFFF0000"/>
      <name val="Calibri"/>
      <family val="2"/>
      <scheme val="minor"/>
    </font>
    <font>
      <b/>
      <sz val="11"/>
      <color theme="8"/>
      <name val="Calibri"/>
      <family val="2"/>
      <scheme val="minor"/>
    </font>
    <font>
      <b/>
      <sz val="11"/>
      <color theme="3"/>
      <name val="Calibri"/>
      <family val="2"/>
      <scheme val="minor"/>
    </font>
    <font>
      <b/>
      <sz val="11"/>
      <color theme="1"/>
      <name val="Arial"/>
      <family val="2"/>
    </font>
    <font>
      <sz val="10"/>
      <name val="Arial"/>
      <family val="2"/>
    </font>
    <font>
      <b/>
      <sz val="11"/>
      <name val="Arial"/>
      <family val="2"/>
    </font>
    <font>
      <sz val="11"/>
      <color theme="1"/>
      <name val="Arial"/>
      <family val="2"/>
    </font>
    <font>
      <sz val="11"/>
      <name val="Arial"/>
      <family val="2"/>
    </font>
    <font>
      <strike/>
      <sz val="11"/>
      <name val="Arial"/>
      <family val="2"/>
    </font>
    <font>
      <sz val="11"/>
      <color theme="1"/>
      <name val="Calibri"/>
      <family val="2"/>
      <scheme val="minor"/>
    </font>
    <font>
      <sz val="12"/>
      <color rgb="FFFF0000"/>
      <name val="Calibri"/>
      <family val="2"/>
      <scheme val="minor"/>
    </font>
    <font>
      <sz val="12"/>
      <color rgb="FF434343"/>
      <name val="Arial"/>
      <family val="2"/>
    </font>
    <font>
      <sz val="11"/>
      <color rgb="FF434343"/>
      <name val="Consolas"/>
      <family val="3"/>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FF0000"/>
        <bgColor indexed="64"/>
      </patternFill>
    </fill>
    <fill>
      <patternFill patternType="solid">
        <fgColor theme="6" tint="0.79998168889431442"/>
        <bgColor indexed="65"/>
      </patternFill>
    </fill>
    <fill>
      <patternFill patternType="solid">
        <fgColor rgb="FFFFFF00"/>
        <bgColor indexed="64"/>
      </patternFill>
    </fill>
  </fills>
  <borders count="7">
    <border>
      <left/>
      <right/>
      <top/>
      <bottom/>
      <diagonal/>
    </border>
    <border>
      <left/>
      <right/>
      <top style="thin">
        <color indexed="64"/>
      </top>
      <bottom style="thin">
        <color indexed="64"/>
      </bottom>
      <diagonal/>
    </border>
    <border>
      <left/>
      <right/>
      <top/>
      <bottom style="thin">
        <color indexed="64"/>
      </bottom>
      <diagonal/>
    </border>
    <border>
      <left/>
      <right/>
      <top/>
      <bottom style="medium">
        <color theme="4" tint="0.39997558519241921"/>
      </bottom>
      <diagonal/>
    </border>
    <border>
      <left style="thin">
        <color indexed="64"/>
      </left>
      <right style="thin">
        <color indexed="64"/>
      </right>
      <top style="thin">
        <color indexed="64"/>
      </top>
      <bottom/>
      <diagonal/>
    </border>
    <border>
      <left/>
      <right style="thin">
        <color indexed="64"/>
      </right>
      <top/>
      <bottom/>
      <diagonal/>
    </border>
    <border>
      <left/>
      <right/>
      <top style="thin">
        <color indexed="64"/>
      </top>
      <bottom/>
      <diagonal/>
    </border>
  </borders>
  <cellStyleXfs count="5">
    <xf numFmtId="0" fontId="0" fillId="0" borderId="0"/>
    <xf numFmtId="0" fontId="8" fillId="0" borderId="3" applyNumberFormat="0" applyFill="0" applyAlignment="0" applyProtection="0"/>
    <xf numFmtId="0" fontId="1" fillId="4" borderId="0" applyNumberFormat="0" applyBorder="0" applyAlignment="0" applyProtection="0"/>
    <xf numFmtId="0" fontId="10" fillId="0" borderId="0"/>
    <xf numFmtId="0" fontId="16" fillId="0" borderId="0" applyNumberFormat="0" applyFill="0" applyBorder="0" applyAlignment="0" applyProtection="0"/>
  </cellStyleXfs>
  <cellXfs count="52">
    <xf numFmtId="0" fontId="0" fillId="0" borderId="0" xfId="0"/>
    <xf numFmtId="0" fontId="2" fillId="0" borderId="0" xfId="0" applyFont="1"/>
    <xf numFmtId="17" fontId="2" fillId="0" borderId="0" xfId="0" applyNumberFormat="1" applyFont="1"/>
    <xf numFmtId="2" fontId="3" fillId="0" borderId="0" xfId="0" applyNumberFormat="1" applyFont="1"/>
    <xf numFmtId="0" fontId="0" fillId="2" borderId="0" xfId="0" applyFill="1"/>
    <xf numFmtId="164" fontId="0" fillId="2" borderId="0" xfId="0" applyNumberFormat="1" applyFill="1"/>
    <xf numFmtId="164" fontId="0" fillId="0" borderId="0" xfId="0" applyNumberFormat="1"/>
    <xf numFmtId="164" fontId="2" fillId="0" borderId="0" xfId="0" applyNumberFormat="1" applyFont="1"/>
    <xf numFmtId="0" fontId="0" fillId="0" borderId="1" xfId="0" applyBorder="1"/>
    <xf numFmtId="0" fontId="2" fillId="0" borderId="2" xfId="0" applyFont="1" applyBorder="1"/>
    <xf numFmtId="0" fontId="0" fillId="0" borderId="2" xfId="0" applyBorder="1"/>
    <xf numFmtId="164" fontId="2" fillId="3" borderId="2" xfId="0" applyNumberFormat="1" applyFont="1" applyFill="1" applyBorder="1"/>
    <xf numFmtId="164" fontId="2" fillId="0" borderId="2" xfId="0" applyNumberFormat="1" applyFont="1" applyBorder="1"/>
    <xf numFmtId="0" fontId="0" fillId="3" borderId="0" xfId="0" applyFill="1"/>
    <xf numFmtId="0" fontId="4" fillId="3" borderId="0" xfId="0" applyFont="1" applyFill="1"/>
    <xf numFmtId="2" fontId="5" fillId="0" borderId="0" xfId="0" applyNumberFormat="1" applyFont="1"/>
    <xf numFmtId="14" fontId="2" fillId="0" borderId="0" xfId="0" applyNumberFormat="1" applyFont="1"/>
    <xf numFmtId="0" fontId="6" fillId="0" borderId="2" xfId="0" applyFont="1" applyBorder="1"/>
    <xf numFmtId="0" fontId="6" fillId="0" borderId="0" xfId="0" applyFont="1"/>
    <xf numFmtId="0" fontId="2" fillId="0" borderId="1" xfId="0" applyFont="1" applyBorder="1"/>
    <xf numFmtId="0" fontId="7" fillId="0" borderId="1" xfId="0" applyFont="1" applyBorder="1"/>
    <xf numFmtId="0" fontId="7" fillId="0" borderId="0" xfId="0" applyFont="1"/>
    <xf numFmtId="14" fontId="2" fillId="0" borderId="1" xfId="0" applyNumberFormat="1" applyFont="1" applyBorder="1"/>
    <xf numFmtId="0" fontId="9" fillId="0" borderId="0" xfId="0" applyFont="1" applyAlignment="1">
      <alignment horizontal="center" wrapText="1"/>
    </xf>
    <xf numFmtId="0" fontId="11" fillId="0" borderId="4" xfId="3" applyFont="1" applyBorder="1" applyAlignment="1">
      <alignment horizontal="center" vertical="center" wrapText="1"/>
    </xf>
    <xf numFmtId="2" fontId="11" fillId="0" borderId="4" xfId="3" applyNumberFormat="1" applyFont="1" applyBorder="1" applyAlignment="1">
      <alignment horizontal="center" vertical="center" wrapText="1"/>
    </xf>
    <xf numFmtId="0" fontId="11" fillId="0" borderId="5" xfId="3" applyFont="1" applyBorder="1" applyAlignment="1">
      <alignment horizontal="center" vertical="center" wrapText="1"/>
    </xf>
    <xf numFmtId="0" fontId="12" fillId="0" borderId="0" xfId="0" applyFont="1"/>
    <xf numFmtId="0" fontId="13" fillId="0" borderId="0" xfId="3" applyFont="1"/>
    <xf numFmtId="2" fontId="13" fillId="0" borderId="0" xfId="3" applyNumberFormat="1" applyFont="1"/>
    <xf numFmtId="0" fontId="14" fillId="5" borderId="0" xfId="3" applyFont="1" applyFill="1"/>
    <xf numFmtId="2" fontId="14" fillId="5" borderId="0" xfId="3" applyNumberFormat="1" applyFont="1" applyFill="1"/>
    <xf numFmtId="0" fontId="8" fillId="0" borderId="3" xfId="1"/>
    <xf numFmtId="0" fontId="8" fillId="0" borderId="3" xfId="1" applyNumberFormat="1"/>
    <xf numFmtId="0" fontId="8" fillId="0" borderId="0" xfId="1" applyFill="1" applyBorder="1"/>
    <xf numFmtId="0" fontId="1" fillId="4" borderId="0" xfId="2"/>
    <xf numFmtId="0" fontId="1" fillId="4" borderId="0" xfId="2" applyNumberFormat="1"/>
    <xf numFmtId="0" fontId="1" fillId="4" borderId="6" xfId="2" applyBorder="1"/>
    <xf numFmtId="0" fontId="1" fillId="4" borderId="6" xfId="2" applyNumberFormat="1" applyBorder="1"/>
    <xf numFmtId="0" fontId="1" fillId="4" borderId="2" xfId="2" applyBorder="1"/>
    <xf numFmtId="0" fontId="1" fillId="4" borderId="2" xfId="2" applyNumberFormat="1" applyBorder="1"/>
    <xf numFmtId="0" fontId="0" fillId="4" borderId="2" xfId="2" applyNumberFormat="1" applyFont="1" applyBorder="1"/>
    <xf numFmtId="0" fontId="16" fillId="0" borderId="0" xfId="4"/>
    <xf numFmtId="14" fontId="16" fillId="0" borderId="0" xfId="4" applyNumberFormat="1"/>
    <xf numFmtId="20" fontId="0" fillId="0" borderId="0" xfId="0" applyNumberFormat="1"/>
    <xf numFmtId="0" fontId="17" fillId="0" borderId="0" xfId="0" applyFont="1"/>
    <xf numFmtId="0" fontId="15" fillId="0" borderId="0" xfId="4" applyFont="1"/>
    <xf numFmtId="0" fontId="18" fillId="0" borderId="0" xfId="0" applyFont="1"/>
    <xf numFmtId="14" fontId="0" fillId="0" borderId="0" xfId="0" applyNumberFormat="1"/>
    <xf numFmtId="0" fontId="0" fillId="0" borderId="5" xfId="0" applyBorder="1"/>
    <xf numFmtId="0" fontId="0" fillId="0" borderId="0" xfId="0" applyFont="1"/>
    <xf numFmtId="0" fontId="19" fillId="0" borderId="0" xfId="0" applyFont="1"/>
  </cellXfs>
  <cellStyles count="5">
    <cellStyle name="20% - Accent3" xfId="2" builtinId="38"/>
    <cellStyle name="Heading 3" xfId="1" builtinId="18"/>
    <cellStyle name="Normal" xfId="0" builtinId="0"/>
    <cellStyle name="Normal 2" xfId="3" xr:uid="{534B6BF5-3652-2642-8DDF-D5EC220BF4D6}"/>
    <cellStyle name="Warning Text" xfId="4"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CB-Martha/OneDrive%20-%20The%20University%20Of%20Hong%20Kong/Nottingham/PhD/Data/Ground%20data/Martha_PASSES_NS_pole_WT_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kuhk-my.sharepoint.com/personal/mledger_hku_hk/Documents/Nottingham/PhD/Data/Lab%20data/NS_LAB.xlsx" TargetMode="External"/><Relationship Id="rId1" Type="http://schemas.openxmlformats.org/officeDocument/2006/relationships/externalLinkPath" Target="/personal/mledger_hku_hk/Documents/Nottingham/PhD/Data/Lab%20data/NS_L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tha_cm"/>
      <sheetName val="Martha_m"/>
      <sheetName val="Martha_surface_height_change_cm"/>
      <sheetName val="Martha_Jul18Jan20cm"/>
      <sheetName val="Martha_Jul18Jan20_m"/>
      <sheetName val="PASSES_cm"/>
      <sheetName val="PASSES_m"/>
      <sheetName val="PASSES_surface_height_change_m"/>
      <sheetName val="Surface motion detrended"/>
    </sheetNames>
    <sheetDataSet>
      <sheetData sheetId="0">
        <row r="1">
          <cell r="O1">
            <v>43313</v>
          </cell>
        </row>
        <row r="13">
          <cell r="C13">
            <v>72</v>
          </cell>
          <cell r="AF13">
            <v>80.5</v>
          </cell>
        </row>
        <row r="16">
          <cell r="C16">
            <v>66</v>
          </cell>
          <cell r="AF16">
            <v>72.899999999999991</v>
          </cell>
        </row>
        <row r="18">
          <cell r="C18">
            <v>84</v>
          </cell>
          <cell r="AF18">
            <v>90.600000000000009</v>
          </cell>
        </row>
        <row r="21">
          <cell r="C21">
            <v>82</v>
          </cell>
          <cell r="AF21">
            <v>86.1</v>
          </cell>
        </row>
        <row r="22">
          <cell r="C22">
            <v>70</v>
          </cell>
          <cell r="AF22">
            <v>72.899999999999991</v>
          </cell>
        </row>
        <row r="34">
          <cell r="O34">
            <v>95.199999999999989</v>
          </cell>
          <cell r="R34">
            <v>93.5</v>
          </cell>
          <cell r="V34">
            <v>92.4</v>
          </cell>
          <cell r="W34">
            <v>91.100000000000009</v>
          </cell>
          <cell r="AF34">
            <v>91.7</v>
          </cell>
        </row>
        <row r="36">
          <cell r="O36">
            <v>107</v>
          </cell>
          <cell r="R36">
            <v>101</v>
          </cell>
          <cell r="V36">
            <v>99.7</v>
          </cell>
          <cell r="W36">
            <v>100.2</v>
          </cell>
          <cell r="AF36">
            <v>98.7</v>
          </cell>
        </row>
        <row r="37">
          <cell r="O37">
            <v>115.8</v>
          </cell>
          <cell r="R37">
            <v>111.00000000000001</v>
          </cell>
          <cell r="V37">
            <v>111.20000000000002</v>
          </cell>
          <cell r="W37">
            <v>112.00000000000001</v>
          </cell>
          <cell r="AF37">
            <v>112.4</v>
          </cell>
        </row>
        <row r="38">
          <cell r="O38">
            <v>107.4</v>
          </cell>
          <cell r="R38">
            <v>105.2</v>
          </cell>
          <cell r="V38">
            <v>106.05</v>
          </cell>
          <cell r="W38">
            <v>108.89999999999999</v>
          </cell>
          <cell r="AF38">
            <v>103.69999999999999</v>
          </cell>
        </row>
        <row r="40">
          <cell r="O40">
            <v>108.2</v>
          </cell>
          <cell r="R40">
            <v>102.1</v>
          </cell>
          <cell r="V40">
            <v>103.94999999999999</v>
          </cell>
          <cell r="W40">
            <v>105</v>
          </cell>
          <cell r="AF40">
            <v>100</v>
          </cell>
        </row>
        <row r="41">
          <cell r="O41">
            <v>95.8</v>
          </cell>
          <cell r="R41">
            <v>90.9</v>
          </cell>
          <cell r="V41">
            <v>92.450000000000017</v>
          </cell>
          <cell r="W41">
            <v>92.5</v>
          </cell>
          <cell r="AF41">
            <v>87.2</v>
          </cell>
        </row>
        <row r="44">
          <cell r="O44">
            <v>102.8</v>
          </cell>
          <cell r="R44">
            <v>100.49999999999999</v>
          </cell>
          <cell r="V44">
            <v>101.1</v>
          </cell>
          <cell r="W44">
            <v>101.6</v>
          </cell>
          <cell r="AF44">
            <v>98.3</v>
          </cell>
        </row>
        <row r="48">
          <cell r="O48">
            <v>94</v>
          </cell>
          <cell r="R48">
            <v>94.8</v>
          </cell>
          <cell r="V48">
            <v>96.399999999999991</v>
          </cell>
          <cell r="W48">
            <v>95.55</v>
          </cell>
          <cell r="AF48">
            <v>98.8</v>
          </cell>
        </row>
        <row r="58">
          <cell r="O58">
            <v>67.900000000000006</v>
          </cell>
          <cell r="R58">
            <v>66.7</v>
          </cell>
          <cell r="V58">
            <v>67.5</v>
          </cell>
          <cell r="W58">
            <v>67.050000000000011</v>
          </cell>
          <cell r="AF58">
            <v>66.900000000000006</v>
          </cell>
        </row>
        <row r="64">
          <cell r="O64">
            <v>105.2</v>
          </cell>
          <cell r="R64">
            <v>103.69999999999999</v>
          </cell>
          <cell r="V64">
            <v>99.5</v>
          </cell>
          <cell r="W64">
            <v>97.8</v>
          </cell>
          <cell r="AF64">
            <v>102.60000000000001</v>
          </cell>
        </row>
        <row r="67">
          <cell r="O67">
            <v>102.69999999999999</v>
          </cell>
          <cell r="R67">
            <v>105.1</v>
          </cell>
          <cell r="V67">
            <v>103.49999999999999</v>
          </cell>
          <cell r="W67">
            <v>104.65</v>
          </cell>
          <cell r="AF67">
            <v>101.89999999999999</v>
          </cell>
        </row>
        <row r="68">
          <cell r="O68">
            <v>94.6</v>
          </cell>
          <cell r="R68">
            <v>96.2</v>
          </cell>
          <cell r="V68">
            <v>96.2</v>
          </cell>
          <cell r="W68">
            <v>94.3</v>
          </cell>
          <cell r="AF68">
            <v>101</v>
          </cell>
        </row>
        <row r="70">
          <cell r="O70">
            <v>104.5</v>
          </cell>
          <cell r="R70">
            <v>105</v>
          </cell>
          <cell r="V70">
            <v>105.3</v>
          </cell>
          <cell r="W70">
            <v>105.75000000000001</v>
          </cell>
          <cell r="AF70">
            <v>106</v>
          </cell>
        </row>
        <row r="75">
          <cell r="O75">
            <v>96.7</v>
          </cell>
          <cell r="R75">
            <v>100.69999999999999</v>
          </cell>
          <cell r="V75">
            <v>102.89999999999999</v>
          </cell>
          <cell r="W75">
            <v>104.1</v>
          </cell>
          <cell r="AF75">
            <v>106.5</v>
          </cell>
        </row>
        <row r="79">
          <cell r="O79">
            <v>93.6</v>
          </cell>
          <cell r="R79">
            <v>92.300000000000011</v>
          </cell>
          <cell r="V79">
            <v>96</v>
          </cell>
          <cell r="W79">
            <v>100.15</v>
          </cell>
          <cell r="AF79">
            <v>95.6</v>
          </cell>
        </row>
        <row r="81">
          <cell r="O81">
            <v>85</v>
          </cell>
          <cell r="R81">
            <v>82.5</v>
          </cell>
          <cell r="V81">
            <v>85.1</v>
          </cell>
          <cell r="W81">
            <v>84.399999999999991</v>
          </cell>
          <cell r="AF81">
            <v>84</v>
          </cell>
        </row>
        <row r="82">
          <cell r="O82">
            <v>81.8</v>
          </cell>
          <cell r="R82">
            <v>81.100000000000009</v>
          </cell>
          <cell r="V82">
            <v>85</v>
          </cell>
          <cell r="W82">
            <v>83.5</v>
          </cell>
          <cell r="AF82">
            <v>86.7</v>
          </cell>
        </row>
        <row r="83">
          <cell r="O83">
            <v>71.399999999999991</v>
          </cell>
          <cell r="R83">
            <v>70.399999999999991</v>
          </cell>
          <cell r="V83">
            <v>75.7</v>
          </cell>
          <cell r="W83">
            <v>73.449999999999989</v>
          </cell>
          <cell r="AF83">
            <v>70</v>
          </cell>
        </row>
        <row r="84">
          <cell r="O84">
            <v>80.8</v>
          </cell>
          <cell r="R84">
            <v>75.099999999999994</v>
          </cell>
          <cell r="V84">
            <v>82.5</v>
          </cell>
          <cell r="W84">
            <v>81.949999999999989</v>
          </cell>
          <cell r="AF84">
            <v>79.800000000000011</v>
          </cell>
        </row>
        <row r="88">
          <cell r="O88">
            <v>74.400000000000006</v>
          </cell>
          <cell r="R88">
            <v>73.2</v>
          </cell>
          <cell r="V88">
            <v>76.5</v>
          </cell>
          <cell r="W88">
            <v>77</v>
          </cell>
          <cell r="AF88">
            <v>72</v>
          </cell>
        </row>
        <row r="89">
          <cell r="O89">
            <v>79.199999999999989</v>
          </cell>
          <cell r="R89">
            <v>79.100000000000009</v>
          </cell>
          <cell r="V89">
            <v>79.400000000000006</v>
          </cell>
          <cell r="W89">
            <v>80.45</v>
          </cell>
          <cell r="AF89">
            <v>82.1</v>
          </cell>
        </row>
        <row r="92">
          <cell r="O92">
            <v>85</v>
          </cell>
          <cell r="R92">
            <v>87</v>
          </cell>
          <cell r="V92">
            <v>86.2</v>
          </cell>
          <cell r="W92">
            <v>86.5</v>
          </cell>
          <cell r="AF92">
            <v>82.5</v>
          </cell>
        </row>
        <row r="94">
          <cell r="O94">
            <v>88</v>
          </cell>
          <cell r="R94">
            <v>89.1</v>
          </cell>
          <cell r="V94">
            <v>87.9</v>
          </cell>
          <cell r="W94">
            <v>89.35</v>
          </cell>
          <cell r="AF94">
            <v>85.2</v>
          </cell>
        </row>
        <row r="95">
          <cell r="O95">
            <v>63.800000000000004</v>
          </cell>
          <cell r="R95">
            <v>63</v>
          </cell>
          <cell r="V95">
            <v>65.7</v>
          </cell>
          <cell r="W95">
            <v>66.2</v>
          </cell>
          <cell r="AF95">
            <v>61.8</v>
          </cell>
        </row>
        <row r="96">
          <cell r="O96">
            <v>71.599999999999994</v>
          </cell>
          <cell r="R96">
            <v>70.3</v>
          </cell>
          <cell r="V96">
            <v>72.899999999999991</v>
          </cell>
          <cell r="W96">
            <v>73.75</v>
          </cell>
          <cell r="AF96">
            <v>75</v>
          </cell>
        </row>
        <row r="108">
          <cell r="O108">
            <v>75.8</v>
          </cell>
          <cell r="R108">
            <v>74.5</v>
          </cell>
          <cell r="V108">
            <v>76.099999999999994</v>
          </cell>
          <cell r="W108">
            <v>75.599999999999994</v>
          </cell>
          <cell r="AF108">
            <v>74.8</v>
          </cell>
        </row>
        <row r="109">
          <cell r="O109">
            <v>78.8</v>
          </cell>
          <cell r="R109">
            <v>78.100000000000009</v>
          </cell>
          <cell r="V109">
            <v>79.100000000000009</v>
          </cell>
          <cell r="W109">
            <v>78.8</v>
          </cell>
          <cell r="AF109">
            <v>79.2</v>
          </cell>
        </row>
        <row r="110">
          <cell r="O110">
            <v>72.5</v>
          </cell>
          <cell r="R110">
            <v>73.2</v>
          </cell>
          <cell r="V110">
            <v>74.400000000000006</v>
          </cell>
          <cell r="W110">
            <v>74.350000000000009</v>
          </cell>
          <cell r="AF110">
            <v>73.8</v>
          </cell>
        </row>
        <row r="112">
          <cell r="O112">
            <v>68.599999999999994</v>
          </cell>
          <cell r="R112">
            <v>69</v>
          </cell>
          <cell r="V112">
            <v>70.199999999999989</v>
          </cell>
          <cell r="W112">
            <v>69.599999999999994</v>
          </cell>
          <cell r="AF112">
            <v>70.199999999999989</v>
          </cell>
        </row>
        <row r="175">
          <cell r="O175">
            <v>62.9</v>
          </cell>
          <cell r="R175">
            <v>63.800000000000004</v>
          </cell>
          <cell r="V175">
            <v>64.8</v>
          </cell>
          <cell r="W175">
            <v>64.8</v>
          </cell>
          <cell r="AF175">
            <v>63.4</v>
          </cell>
        </row>
        <row r="184">
          <cell r="O184">
            <v>63.1</v>
          </cell>
          <cell r="R184">
            <v>63</v>
          </cell>
          <cell r="V184">
            <v>65.100000000000009</v>
          </cell>
          <cell r="W184">
            <v>64.349999999999994</v>
          </cell>
          <cell r="AF184">
            <v>65</v>
          </cell>
        </row>
        <row r="185">
          <cell r="O185">
            <v>49.400000000000006</v>
          </cell>
          <cell r="R185">
            <v>49.9</v>
          </cell>
          <cell r="V185">
            <v>54</v>
          </cell>
          <cell r="W185">
            <v>52.849999999999994</v>
          </cell>
          <cell r="AF185">
            <v>56.999999999999993</v>
          </cell>
        </row>
        <row r="189">
          <cell r="O189">
            <v>79.600000000000009</v>
          </cell>
          <cell r="R189">
            <v>77.7</v>
          </cell>
          <cell r="V189">
            <v>81.399999999999991</v>
          </cell>
          <cell r="W189">
            <v>80.2</v>
          </cell>
          <cell r="AF189">
            <v>83.5</v>
          </cell>
        </row>
        <row r="191">
          <cell r="O191">
            <v>70.399999999999991</v>
          </cell>
          <cell r="R191">
            <v>68</v>
          </cell>
          <cell r="V191">
            <v>66.600000000000009</v>
          </cell>
          <cell r="W191">
            <v>65.050000000000011</v>
          </cell>
          <cell r="AF191">
            <v>71.099999999999994</v>
          </cell>
        </row>
        <row r="192">
          <cell r="O192">
            <v>74.8</v>
          </cell>
          <cell r="R192">
            <v>76.599999999999994</v>
          </cell>
          <cell r="V192">
            <v>81</v>
          </cell>
          <cell r="W192">
            <v>79.2</v>
          </cell>
          <cell r="AF192">
            <v>80.5</v>
          </cell>
        </row>
        <row r="193">
          <cell r="O193">
            <v>64.399999999999991</v>
          </cell>
          <cell r="R193">
            <v>64.3</v>
          </cell>
          <cell r="V193">
            <v>66.100000000000009</v>
          </cell>
          <cell r="W193">
            <v>63.650000000000006</v>
          </cell>
          <cell r="AF193">
            <v>64</v>
          </cell>
        </row>
        <row r="196">
          <cell r="O196">
            <v>66.5</v>
          </cell>
          <cell r="R196">
            <v>68.899999999999991</v>
          </cell>
          <cell r="V196">
            <v>67.7</v>
          </cell>
          <cell r="W196">
            <v>67.7</v>
          </cell>
          <cell r="AF196">
            <v>67.100000000000009</v>
          </cell>
        </row>
        <row r="198">
          <cell r="O198">
            <v>57.600000000000009</v>
          </cell>
          <cell r="R198">
            <v>55.300000000000004</v>
          </cell>
          <cell r="V198">
            <v>58.5</v>
          </cell>
          <cell r="W198">
            <v>58.149999999999991</v>
          </cell>
          <cell r="AF198">
            <v>54.1</v>
          </cell>
        </row>
        <row r="206">
          <cell r="O206">
            <v>79.100000000000009</v>
          </cell>
          <cell r="R206">
            <v>72.2</v>
          </cell>
          <cell r="V206">
            <v>72.150000000000006</v>
          </cell>
          <cell r="W206">
            <v>71.599999999999994</v>
          </cell>
          <cell r="AF206">
            <v>69</v>
          </cell>
        </row>
        <row r="208">
          <cell r="O208">
            <v>77.5</v>
          </cell>
          <cell r="R208">
            <v>69</v>
          </cell>
          <cell r="V208">
            <v>68.8</v>
          </cell>
          <cell r="W208">
            <v>68.7</v>
          </cell>
          <cell r="AF208">
            <v>66.900000000000006</v>
          </cell>
        </row>
        <row r="211">
          <cell r="O211">
            <v>63.2</v>
          </cell>
          <cell r="R211">
            <v>56.100000000000009</v>
          </cell>
          <cell r="V211">
            <v>55.350000000000009</v>
          </cell>
          <cell r="W211">
            <v>55.7</v>
          </cell>
          <cell r="AF211">
            <v>53</v>
          </cell>
        </row>
        <row r="213">
          <cell r="O213">
            <v>58.4</v>
          </cell>
          <cell r="R213">
            <v>53.800000000000004</v>
          </cell>
          <cell r="V213">
            <v>53.7</v>
          </cell>
          <cell r="W213">
            <v>53.5</v>
          </cell>
          <cell r="AF213">
            <v>50.6</v>
          </cell>
        </row>
        <row r="218">
          <cell r="O218">
            <v>66.2</v>
          </cell>
          <cell r="R218">
            <v>59.8</v>
          </cell>
          <cell r="V218">
            <v>58.5</v>
          </cell>
          <cell r="W218">
            <v>58.5</v>
          </cell>
          <cell r="AF218">
            <v>55.600000000000009</v>
          </cell>
        </row>
        <row r="219">
          <cell r="O219">
            <v>70</v>
          </cell>
          <cell r="R219">
            <v>61.7</v>
          </cell>
          <cell r="V219">
            <v>60.6</v>
          </cell>
          <cell r="W219">
            <v>60.699999999999996</v>
          </cell>
          <cell r="AF219">
            <v>56.899999999999991</v>
          </cell>
        </row>
        <row r="226">
          <cell r="O226">
            <v>88.8</v>
          </cell>
          <cell r="R226">
            <v>86.4</v>
          </cell>
          <cell r="V226">
            <v>85.05</v>
          </cell>
          <cell r="W226">
            <v>83.1</v>
          </cell>
          <cell r="AF226">
            <v>83.3</v>
          </cell>
        </row>
        <row r="228">
          <cell r="O228">
            <v>65.600000000000009</v>
          </cell>
          <cell r="R228">
            <v>57.4</v>
          </cell>
          <cell r="V228">
            <v>57.3</v>
          </cell>
          <cell r="W228">
            <v>59.199999999999996</v>
          </cell>
          <cell r="AF228">
            <v>55.7</v>
          </cell>
        </row>
        <row r="230">
          <cell r="O230">
            <v>76</v>
          </cell>
          <cell r="R230">
            <v>70.199999999999989</v>
          </cell>
          <cell r="V230">
            <v>70.649999999999991</v>
          </cell>
          <cell r="W230">
            <v>70.599999999999994</v>
          </cell>
          <cell r="AF230">
            <v>68</v>
          </cell>
        </row>
        <row r="232">
          <cell r="O232">
            <v>69.199999999999989</v>
          </cell>
          <cell r="R232">
            <v>60.6</v>
          </cell>
          <cell r="V232">
            <v>61.149999999999991</v>
          </cell>
          <cell r="W232">
            <v>61.199999999999996</v>
          </cell>
          <cell r="AF232">
            <v>57.499999999999993</v>
          </cell>
        </row>
        <row r="233">
          <cell r="O233">
            <v>61.8</v>
          </cell>
          <cell r="R233">
            <v>55.600000000000009</v>
          </cell>
          <cell r="V233">
            <v>54.85</v>
          </cell>
          <cell r="W233">
            <v>55.000000000000007</v>
          </cell>
          <cell r="AF233">
            <v>51.1</v>
          </cell>
        </row>
        <row r="236">
          <cell r="O236">
            <v>62</v>
          </cell>
          <cell r="R236">
            <v>53.1</v>
          </cell>
          <cell r="V236">
            <v>53.2</v>
          </cell>
          <cell r="W236">
            <v>53.300000000000004</v>
          </cell>
          <cell r="AF236">
            <v>49.7</v>
          </cell>
        </row>
        <row r="239">
          <cell r="O239">
            <v>64.5</v>
          </cell>
          <cell r="R239">
            <v>56.999999999999993</v>
          </cell>
          <cell r="V239">
            <v>56.2</v>
          </cell>
          <cell r="W239">
            <v>56.3</v>
          </cell>
          <cell r="AF239">
            <v>54.7</v>
          </cell>
        </row>
        <row r="240">
          <cell r="O240">
            <v>69.8</v>
          </cell>
          <cell r="R240">
            <v>62.9</v>
          </cell>
          <cell r="V240">
            <v>62.1</v>
          </cell>
          <cell r="W240">
            <v>62.4</v>
          </cell>
          <cell r="AF240">
            <v>61</v>
          </cell>
        </row>
        <row r="242">
          <cell r="O242">
            <v>62.6</v>
          </cell>
          <cell r="R242">
            <v>54.900000000000006</v>
          </cell>
          <cell r="V242">
            <v>54.750000000000007</v>
          </cell>
          <cell r="W242">
            <v>55.1</v>
          </cell>
          <cell r="AF242">
            <v>51.4</v>
          </cell>
        </row>
        <row r="243">
          <cell r="O243">
            <v>67.7</v>
          </cell>
          <cell r="R243">
            <v>59.9</v>
          </cell>
          <cell r="V243">
            <v>59.5</v>
          </cell>
          <cell r="W243">
            <v>59.5</v>
          </cell>
          <cell r="AF243">
            <v>57.4</v>
          </cell>
        </row>
        <row r="248">
          <cell r="O248">
            <v>69.599999999999994</v>
          </cell>
          <cell r="R248">
            <v>61.1</v>
          </cell>
          <cell r="V248">
            <v>60.9</v>
          </cell>
          <cell r="W248">
            <v>61.5</v>
          </cell>
          <cell r="AF248">
            <v>58.699999999999996</v>
          </cell>
        </row>
        <row r="253">
          <cell r="O253">
            <v>75</v>
          </cell>
          <cell r="R253">
            <v>67.5</v>
          </cell>
          <cell r="V253">
            <v>64.349999999999994</v>
          </cell>
          <cell r="W253">
            <v>65.8</v>
          </cell>
          <cell r="AF253">
            <v>61.6</v>
          </cell>
        </row>
        <row r="255">
          <cell r="O255">
            <v>63.2</v>
          </cell>
          <cell r="R255">
            <v>55.000000000000007</v>
          </cell>
          <cell r="V255">
            <v>54.6</v>
          </cell>
          <cell r="W255">
            <v>55.2</v>
          </cell>
          <cell r="AF255">
            <v>53</v>
          </cell>
        </row>
        <row r="259">
          <cell r="O259">
            <v>62.6</v>
          </cell>
          <cell r="R259">
            <v>55.2</v>
          </cell>
          <cell r="V259">
            <v>54.25</v>
          </cell>
          <cell r="W259">
            <v>55.400000000000006</v>
          </cell>
          <cell r="AF259">
            <v>53.2</v>
          </cell>
        </row>
        <row r="273">
          <cell r="O273">
            <v>59.599999999999994</v>
          </cell>
          <cell r="R273">
            <v>51.7</v>
          </cell>
          <cell r="V273">
            <v>54.25</v>
          </cell>
          <cell r="W273">
            <v>54</v>
          </cell>
          <cell r="AF273">
            <v>49.1</v>
          </cell>
        </row>
        <row r="274">
          <cell r="O274">
            <v>65.8</v>
          </cell>
          <cell r="R274">
            <v>58.5</v>
          </cell>
          <cell r="V274">
            <v>54.750000000000007</v>
          </cell>
          <cell r="W274">
            <v>54.7</v>
          </cell>
          <cell r="AF274">
            <v>51.2</v>
          </cell>
        </row>
        <row r="275">
          <cell r="O275">
            <v>63.4</v>
          </cell>
          <cell r="R275">
            <v>54.7</v>
          </cell>
          <cell r="V275">
            <v>54.1</v>
          </cell>
          <cell r="W275">
            <v>55.000000000000007</v>
          </cell>
          <cell r="AF275">
            <v>51.300000000000004</v>
          </cell>
        </row>
        <row r="281">
          <cell r="O281">
            <v>71.2</v>
          </cell>
          <cell r="R281">
            <v>63.4</v>
          </cell>
          <cell r="V281">
            <v>61.3</v>
          </cell>
          <cell r="W281">
            <v>62.4</v>
          </cell>
          <cell r="AF281">
            <v>62.9</v>
          </cell>
        </row>
        <row r="284">
          <cell r="O284">
            <v>74.099999999999994</v>
          </cell>
          <cell r="R284">
            <v>66.5</v>
          </cell>
          <cell r="V284">
            <v>64.600000000000009</v>
          </cell>
          <cell r="W284">
            <v>65</v>
          </cell>
          <cell r="AF284">
            <v>62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BD vs depth plots"/>
      <sheetName val="Site averages"/>
      <sheetName val="Tonks"/>
    </sheetNames>
    <sheetDataSet>
      <sheetData sheetId="0"/>
      <sheetData sheetId="1">
        <row r="2">
          <cell r="B2">
            <v>0</v>
          </cell>
        </row>
        <row r="62">
          <cell r="B62">
            <v>0</v>
          </cell>
          <cell r="C62">
            <v>9.8413146866318205E-2</v>
          </cell>
        </row>
        <row r="63">
          <cell r="B63">
            <v>10</v>
          </cell>
          <cell r="C63">
            <v>6.403917690822622E-2</v>
          </cell>
        </row>
        <row r="64">
          <cell r="B64">
            <v>20</v>
          </cell>
          <cell r="C64">
            <v>5.3679898290719022E-2</v>
          </cell>
        </row>
        <row r="65">
          <cell r="B65">
            <v>30</v>
          </cell>
          <cell r="C65">
            <v>4.3791495974007617E-2</v>
          </cell>
        </row>
        <row r="66">
          <cell r="B66">
            <v>40</v>
          </cell>
          <cell r="C66">
            <v>3.7670104063662474E-2</v>
          </cell>
        </row>
        <row r="67">
          <cell r="B67">
            <v>50</v>
          </cell>
          <cell r="C67">
            <v>4.473324857559919E-2</v>
          </cell>
        </row>
        <row r="68">
          <cell r="B68">
            <v>60</v>
          </cell>
          <cell r="C68">
            <v>4.473324857559919E-2</v>
          </cell>
        </row>
        <row r="69">
          <cell r="B69">
            <v>70</v>
          </cell>
          <cell r="C69">
            <v>5.038376418514854E-2</v>
          </cell>
        </row>
        <row r="70">
          <cell r="B70">
            <v>80</v>
          </cell>
          <cell r="C70">
            <v>4.4262372274803403E-2</v>
          </cell>
        </row>
        <row r="71">
          <cell r="B71">
            <v>90</v>
          </cell>
          <cell r="C71">
            <v>3.3432217356500454E-2</v>
          </cell>
        </row>
        <row r="72">
          <cell r="B72">
            <v>100</v>
          </cell>
          <cell r="C72">
            <v>2.8723454348542628E-2</v>
          </cell>
        </row>
        <row r="73">
          <cell r="B73">
            <v>110</v>
          </cell>
          <cell r="C73">
            <v>3.6728351462070902E-2</v>
          </cell>
        </row>
        <row r="74">
          <cell r="B74">
            <v>120</v>
          </cell>
          <cell r="C74">
            <v>3.5786598860479357E-2</v>
          </cell>
        </row>
        <row r="75">
          <cell r="B75">
            <v>130</v>
          </cell>
          <cell r="C75">
            <v>3.2019588454113089E-2</v>
          </cell>
        </row>
        <row r="76">
          <cell r="B76">
            <v>140</v>
          </cell>
          <cell r="C76">
            <v>3.0606959551725762E-2</v>
          </cell>
        </row>
        <row r="77">
          <cell r="B77">
            <v>150</v>
          </cell>
          <cell r="C77">
            <v>5.3679898290719022E-2</v>
          </cell>
        </row>
        <row r="78">
          <cell r="B78">
            <v>160</v>
          </cell>
          <cell r="C78">
            <v>4.3791495974007617E-2</v>
          </cell>
        </row>
        <row r="79">
          <cell r="B79">
            <v>170</v>
          </cell>
          <cell r="C79">
            <v>5.6034279794697925E-2</v>
          </cell>
        </row>
        <row r="80">
          <cell r="B80">
            <v>180</v>
          </cell>
          <cell r="C80">
            <v>3.3903093657296206E-2</v>
          </cell>
        </row>
        <row r="81">
          <cell r="B81">
            <v>190</v>
          </cell>
          <cell r="C81">
            <v>3.4844846258887785E-2</v>
          </cell>
        </row>
        <row r="82">
          <cell r="B82">
            <v>200</v>
          </cell>
          <cell r="C82">
            <v>2.2131186137401702E-2</v>
          </cell>
        </row>
        <row r="83">
          <cell r="B83">
            <v>210</v>
          </cell>
          <cell r="C83">
            <v>3.1548712153317303E-2</v>
          </cell>
        </row>
        <row r="84">
          <cell r="B84">
            <v>220</v>
          </cell>
          <cell r="C84">
            <v>1.6951546828648103E-2</v>
          </cell>
        </row>
        <row r="85">
          <cell r="B85">
            <v>230</v>
          </cell>
          <cell r="C85">
            <v>1.6009794227056545E-2</v>
          </cell>
        </row>
        <row r="86">
          <cell r="B86">
            <v>240</v>
          </cell>
          <cell r="C86">
            <v>8.9466497151198393E-3</v>
          </cell>
        </row>
        <row r="87">
          <cell r="B87">
            <v>250</v>
          </cell>
          <cell r="C87">
            <v>2.7781701746951069E-2</v>
          </cell>
        </row>
        <row r="88">
          <cell r="B88">
            <v>260</v>
          </cell>
          <cell r="C88">
            <v>3.8611856665254018E-2</v>
          </cell>
        </row>
        <row r="89">
          <cell r="B89">
            <v>270</v>
          </cell>
          <cell r="C89">
            <v>5.8388661298676828E-2</v>
          </cell>
        </row>
        <row r="90">
          <cell r="B90">
            <v>280</v>
          </cell>
          <cell r="C90">
            <v>5.5563403493902139E-2</v>
          </cell>
        </row>
        <row r="91">
          <cell r="B91">
            <v>290</v>
          </cell>
          <cell r="C91">
            <v>4.9912887884352788E-2</v>
          </cell>
        </row>
        <row r="128">
          <cell r="B128">
            <v>0</v>
          </cell>
          <cell r="C128">
            <v>0.18599613881433344</v>
          </cell>
        </row>
        <row r="129">
          <cell r="B129">
            <v>10</v>
          </cell>
          <cell r="C129">
            <v>0.1751659838960305</v>
          </cell>
        </row>
        <row r="130">
          <cell r="B130">
            <v>20</v>
          </cell>
          <cell r="C130">
            <v>0.13890850873475538</v>
          </cell>
        </row>
        <row r="131">
          <cell r="B131">
            <v>30</v>
          </cell>
          <cell r="C131">
            <v>9.7000517963930874E-2</v>
          </cell>
        </row>
        <row r="132">
          <cell r="B132">
            <v>40</v>
          </cell>
          <cell r="C132">
            <v>9.087912605358571E-2</v>
          </cell>
        </row>
        <row r="133">
          <cell r="B133">
            <v>50</v>
          </cell>
          <cell r="C133">
            <v>6.498092950981775E-2</v>
          </cell>
        </row>
        <row r="134">
          <cell r="B134">
            <v>60</v>
          </cell>
          <cell r="C134">
            <v>7.5340208127324948E-2</v>
          </cell>
        </row>
        <row r="135">
          <cell r="B135">
            <v>70</v>
          </cell>
          <cell r="C135">
            <v>7.6281960728916492E-2</v>
          </cell>
        </row>
        <row r="136">
          <cell r="B136">
            <v>80</v>
          </cell>
          <cell r="C136">
            <v>8.7582991948015262E-2</v>
          </cell>
        </row>
        <row r="137">
          <cell r="B137">
            <v>90</v>
          </cell>
          <cell r="C137">
            <v>8.522861044403636E-2</v>
          </cell>
        </row>
        <row r="138">
          <cell r="B138">
            <v>100</v>
          </cell>
          <cell r="C138">
            <v>7.0631445119367142E-2</v>
          </cell>
        </row>
        <row r="139">
          <cell r="B139">
            <v>110</v>
          </cell>
          <cell r="C139">
            <v>7.2514950322550259E-2</v>
          </cell>
        </row>
        <row r="140">
          <cell r="B140">
            <v>120</v>
          </cell>
          <cell r="C140">
            <v>7.4869331826529162E-2</v>
          </cell>
        </row>
        <row r="141">
          <cell r="B141">
            <v>130</v>
          </cell>
          <cell r="C141">
            <v>8.2874228940057457E-2</v>
          </cell>
        </row>
        <row r="142">
          <cell r="B142">
            <v>140</v>
          </cell>
          <cell r="C142">
            <v>6.498092950981775E-2</v>
          </cell>
        </row>
        <row r="143">
          <cell r="B143">
            <v>150</v>
          </cell>
          <cell r="C143">
            <v>5.1796393087535905E-2</v>
          </cell>
        </row>
        <row r="144">
          <cell r="B144">
            <v>160</v>
          </cell>
          <cell r="C144">
            <v>6.0743042802655738E-2</v>
          </cell>
        </row>
        <row r="145">
          <cell r="B145">
            <v>170</v>
          </cell>
          <cell r="C145">
            <v>6.3097424306634634E-2</v>
          </cell>
        </row>
        <row r="146">
          <cell r="B146">
            <v>180</v>
          </cell>
          <cell r="C146">
            <v>5.9330413900268407E-2</v>
          </cell>
        </row>
        <row r="147">
          <cell r="B147">
            <v>190</v>
          </cell>
          <cell r="C147">
            <v>4.8029382681169637E-2</v>
          </cell>
        </row>
        <row r="148">
          <cell r="B148">
            <v>200</v>
          </cell>
          <cell r="C148">
            <v>5.2267269388331691E-2</v>
          </cell>
        </row>
        <row r="149">
          <cell r="B149">
            <v>210</v>
          </cell>
          <cell r="C149">
            <v>5.5092527193106353E-2</v>
          </cell>
        </row>
        <row r="150">
          <cell r="B150">
            <v>220</v>
          </cell>
          <cell r="C150">
            <v>6.168479540424731E-2</v>
          </cell>
        </row>
        <row r="151">
          <cell r="B151">
            <v>230</v>
          </cell>
          <cell r="C151">
            <v>6.7806187314592453E-2</v>
          </cell>
        </row>
        <row r="152">
          <cell r="B152">
            <v>240</v>
          </cell>
          <cell r="C152">
            <v>6.3097424306634634E-2</v>
          </cell>
        </row>
        <row r="153">
          <cell r="B153">
            <v>250</v>
          </cell>
          <cell r="C153">
            <v>6.7806187314592453E-2</v>
          </cell>
        </row>
        <row r="154">
          <cell r="B154">
            <v>260</v>
          </cell>
          <cell r="C154">
            <v>8.3345105240853201E-2</v>
          </cell>
        </row>
        <row r="155">
          <cell r="B155">
            <v>0</v>
          </cell>
          <cell r="C155">
            <v>0.16151057117295284</v>
          </cell>
        </row>
        <row r="156">
          <cell r="B156">
            <v>10</v>
          </cell>
          <cell r="C156">
            <v>0.14361727174271319</v>
          </cell>
        </row>
        <row r="157">
          <cell r="B157">
            <v>20</v>
          </cell>
          <cell r="C157">
            <v>0.13278711682441022</v>
          </cell>
        </row>
        <row r="158">
          <cell r="B158">
            <v>30</v>
          </cell>
          <cell r="C158">
            <v>0.11771907519894523</v>
          </cell>
        </row>
        <row r="159">
          <cell r="B159">
            <v>40</v>
          </cell>
          <cell r="C159">
            <v>0.1087724254838254</v>
          </cell>
        </row>
        <row r="160">
          <cell r="B160">
            <v>50</v>
          </cell>
          <cell r="C160">
            <v>9.0408249752789924E-2</v>
          </cell>
        </row>
        <row r="161">
          <cell r="B161">
            <v>60</v>
          </cell>
          <cell r="C161">
            <v>8.522861044403636E-2</v>
          </cell>
        </row>
        <row r="162">
          <cell r="B162">
            <v>70</v>
          </cell>
          <cell r="C162">
            <v>8.4286857842444787E-2</v>
          </cell>
        </row>
        <row r="163">
          <cell r="B163">
            <v>80</v>
          </cell>
          <cell r="C163">
            <v>8.2403352639261671E-2</v>
          </cell>
        </row>
        <row r="164">
          <cell r="B164">
            <v>90</v>
          </cell>
          <cell r="C164">
            <v>7.2044074021754473E-2</v>
          </cell>
        </row>
        <row r="165">
          <cell r="B165">
            <v>100</v>
          </cell>
          <cell r="C165">
            <v>6.4510053209021964E-2</v>
          </cell>
        </row>
        <row r="166">
          <cell r="B166">
            <v>110</v>
          </cell>
          <cell r="C166">
            <v>6.5922682111409336E-2</v>
          </cell>
        </row>
        <row r="167">
          <cell r="B167">
            <v>120</v>
          </cell>
          <cell r="C167">
            <v>6.3097424306634634E-2</v>
          </cell>
        </row>
        <row r="168">
          <cell r="B168">
            <v>130</v>
          </cell>
          <cell r="C168">
            <v>6.7806187314592453E-2</v>
          </cell>
        </row>
        <row r="169">
          <cell r="B169">
            <v>140</v>
          </cell>
          <cell r="C169">
            <v>7.7694589631303851E-2</v>
          </cell>
        </row>
        <row r="170">
          <cell r="B170">
            <v>150</v>
          </cell>
          <cell r="C170">
            <v>6.4510053209021964E-2</v>
          </cell>
        </row>
        <row r="171">
          <cell r="B171">
            <v>160</v>
          </cell>
          <cell r="C171">
            <v>6.7335311013796667E-2</v>
          </cell>
        </row>
        <row r="172">
          <cell r="B172">
            <v>170</v>
          </cell>
          <cell r="C172">
            <v>5.2738145689127443E-2</v>
          </cell>
        </row>
        <row r="173">
          <cell r="B173">
            <v>180</v>
          </cell>
          <cell r="C173">
            <v>5.8859537599472614E-2</v>
          </cell>
        </row>
        <row r="174">
          <cell r="B174">
            <v>190</v>
          </cell>
          <cell r="C174">
            <v>6.0743042802655738E-2</v>
          </cell>
        </row>
        <row r="175">
          <cell r="B175">
            <v>200</v>
          </cell>
          <cell r="C175">
            <v>4.7087630079578092E-2</v>
          </cell>
        </row>
        <row r="176">
          <cell r="B176">
            <v>210</v>
          </cell>
          <cell r="C176">
            <v>5.6505156095493711E-2</v>
          </cell>
        </row>
        <row r="177">
          <cell r="B177">
            <v>220</v>
          </cell>
          <cell r="C177">
            <v>6.498092950981775E-2</v>
          </cell>
        </row>
        <row r="178">
          <cell r="B178">
            <v>230</v>
          </cell>
          <cell r="C178">
            <v>6.2626548005838847E-2</v>
          </cell>
        </row>
        <row r="179">
          <cell r="B179">
            <v>240</v>
          </cell>
          <cell r="C179">
            <v>6.498092950981775E-2</v>
          </cell>
        </row>
        <row r="180">
          <cell r="B180">
            <v>250</v>
          </cell>
          <cell r="C180">
            <v>5.5563403493902139E-2</v>
          </cell>
        </row>
        <row r="181">
          <cell r="B181">
            <v>260</v>
          </cell>
          <cell r="C181">
            <v>7.392757922493759E-2</v>
          </cell>
        </row>
        <row r="182">
          <cell r="B182">
            <v>270</v>
          </cell>
          <cell r="C182">
            <v>8.2874228940057457E-2</v>
          </cell>
        </row>
        <row r="183">
          <cell r="B183">
            <v>0</v>
          </cell>
          <cell r="C183">
            <v>0.13608325092998069</v>
          </cell>
        </row>
        <row r="184">
          <cell r="B184">
            <v>10</v>
          </cell>
          <cell r="C184">
            <v>0.14832603475067099</v>
          </cell>
        </row>
        <row r="185">
          <cell r="B185">
            <v>20</v>
          </cell>
          <cell r="C185">
            <v>0.11960258040212836</v>
          </cell>
        </row>
        <row r="186">
          <cell r="B186">
            <v>30</v>
          </cell>
          <cell r="C186">
            <v>0.10924330178462116</v>
          </cell>
        </row>
        <row r="187">
          <cell r="B187">
            <v>40</v>
          </cell>
          <cell r="C187">
            <v>0.11065593068700852</v>
          </cell>
        </row>
        <row r="188">
          <cell r="B188">
            <v>50</v>
          </cell>
          <cell r="C188">
            <v>9.7942270565522419E-2</v>
          </cell>
        </row>
        <row r="189">
          <cell r="B189">
            <v>60</v>
          </cell>
          <cell r="C189">
            <v>8.9466497151198379E-2</v>
          </cell>
        </row>
        <row r="190">
          <cell r="B190">
            <v>70</v>
          </cell>
          <cell r="C190">
            <v>7.6281960728916492E-2</v>
          </cell>
        </row>
        <row r="191">
          <cell r="B191">
            <v>80</v>
          </cell>
          <cell r="C191">
            <v>6.3097424306634634E-2</v>
          </cell>
        </row>
        <row r="192">
          <cell r="B192">
            <v>90</v>
          </cell>
          <cell r="C192">
            <v>5.9801290201064158E-2</v>
          </cell>
        </row>
        <row r="193">
          <cell r="B193">
            <v>100</v>
          </cell>
          <cell r="C193">
            <v>8.0048971135282754E-2</v>
          </cell>
        </row>
        <row r="194">
          <cell r="B194">
            <v>110</v>
          </cell>
          <cell r="C194">
            <v>6.7806187314592453E-2</v>
          </cell>
        </row>
        <row r="195">
          <cell r="B195">
            <v>120</v>
          </cell>
          <cell r="C195">
            <v>6.5922682111409336E-2</v>
          </cell>
        </row>
        <row r="196">
          <cell r="B196">
            <v>130</v>
          </cell>
          <cell r="C196">
            <v>7.8636342232895395E-2</v>
          </cell>
        </row>
        <row r="197">
          <cell r="B197">
            <v>140</v>
          </cell>
          <cell r="C197">
            <v>6.7806187314592453E-2</v>
          </cell>
        </row>
        <row r="198">
          <cell r="B198">
            <v>150</v>
          </cell>
          <cell r="C198">
            <v>6.2626548005838847E-2</v>
          </cell>
        </row>
        <row r="199">
          <cell r="B199">
            <v>160</v>
          </cell>
          <cell r="C199">
            <v>7.0631445119367142E-2</v>
          </cell>
        </row>
        <row r="200">
          <cell r="B200">
            <v>170</v>
          </cell>
          <cell r="C200">
            <v>7.3456702924141831E-2</v>
          </cell>
        </row>
        <row r="201">
          <cell r="B201">
            <v>180</v>
          </cell>
          <cell r="C201">
            <v>8.0048971135282754E-2</v>
          </cell>
        </row>
        <row r="202">
          <cell r="B202">
            <v>190</v>
          </cell>
          <cell r="C202">
            <v>6.0743042802655738E-2</v>
          </cell>
        </row>
        <row r="203">
          <cell r="B203">
            <v>200</v>
          </cell>
          <cell r="C203">
            <v>6.3097424306634634E-2</v>
          </cell>
        </row>
        <row r="204">
          <cell r="B204">
            <v>210</v>
          </cell>
          <cell r="C204">
            <v>6.7335311013796667E-2</v>
          </cell>
        </row>
        <row r="205">
          <cell r="B205">
            <v>220</v>
          </cell>
          <cell r="C205">
            <v>5.8388661298676828E-2</v>
          </cell>
        </row>
        <row r="206">
          <cell r="B206">
            <v>230</v>
          </cell>
          <cell r="C206">
            <v>5.9801290201064158E-2</v>
          </cell>
        </row>
        <row r="207">
          <cell r="B207">
            <v>240</v>
          </cell>
          <cell r="C207">
            <v>5.5092527193106353E-2</v>
          </cell>
        </row>
        <row r="208">
          <cell r="B208">
            <v>250</v>
          </cell>
          <cell r="C208">
            <v>5.4150774591514808E-2</v>
          </cell>
        </row>
        <row r="209">
          <cell r="B209">
            <v>260</v>
          </cell>
          <cell r="C209">
            <v>5.1325516786740112E-2</v>
          </cell>
        </row>
        <row r="210">
          <cell r="B210">
            <v>270</v>
          </cell>
          <cell r="C210">
            <v>6.2626548005838847E-2</v>
          </cell>
        </row>
        <row r="211">
          <cell r="B211">
            <v>280</v>
          </cell>
          <cell r="C211">
            <v>7.7694589631303851E-2</v>
          </cell>
        </row>
        <row r="212">
          <cell r="B212">
            <v>290</v>
          </cell>
          <cell r="C212">
            <v>0.10735979658143804</v>
          </cell>
        </row>
        <row r="213">
          <cell r="B213">
            <v>0</v>
          </cell>
          <cell r="C213">
            <v>0.18270000470876302</v>
          </cell>
        </row>
        <row r="214">
          <cell r="B214">
            <v>10</v>
          </cell>
          <cell r="C214">
            <v>0.14738428214907942</v>
          </cell>
        </row>
        <row r="215">
          <cell r="B215">
            <v>20</v>
          </cell>
          <cell r="C215">
            <v>0.15868531336817815</v>
          </cell>
        </row>
        <row r="216">
          <cell r="B216">
            <v>30</v>
          </cell>
          <cell r="C216">
            <v>0.13137448792202289</v>
          </cell>
        </row>
        <row r="217">
          <cell r="B217">
            <v>40</v>
          </cell>
          <cell r="C217">
            <v>0.1064180439798465</v>
          </cell>
        </row>
        <row r="218">
          <cell r="B218">
            <v>50</v>
          </cell>
          <cell r="C218">
            <v>0.12007345670292414</v>
          </cell>
        </row>
        <row r="219">
          <cell r="B219">
            <v>60</v>
          </cell>
          <cell r="C219">
            <v>0.11159768328860006</v>
          </cell>
        </row>
        <row r="220">
          <cell r="B220">
            <v>70</v>
          </cell>
          <cell r="C220">
            <v>0.11536469369496632</v>
          </cell>
        </row>
        <row r="221">
          <cell r="B221">
            <v>80</v>
          </cell>
          <cell r="C221">
            <v>9.9354899467909791E-2</v>
          </cell>
        </row>
        <row r="222">
          <cell r="B222">
            <v>90</v>
          </cell>
          <cell r="C222">
            <v>9.8413146866318205E-2</v>
          </cell>
        </row>
        <row r="223">
          <cell r="B223">
            <v>100</v>
          </cell>
          <cell r="C223">
            <v>9.2291754955973068E-2</v>
          </cell>
        </row>
        <row r="224">
          <cell r="B224">
            <v>110</v>
          </cell>
          <cell r="C224">
            <v>8.8995620850402593E-2</v>
          </cell>
        </row>
        <row r="225">
          <cell r="B225">
            <v>120</v>
          </cell>
          <cell r="C225">
            <v>8.8524744549606807E-2</v>
          </cell>
        </row>
        <row r="226">
          <cell r="B226">
            <v>130</v>
          </cell>
          <cell r="C226">
            <v>8.7582991948015262E-2</v>
          </cell>
        </row>
        <row r="227">
          <cell r="B227">
            <v>140</v>
          </cell>
          <cell r="C227">
            <v>9.8884023167113991E-2</v>
          </cell>
        </row>
        <row r="228">
          <cell r="B228">
            <v>150</v>
          </cell>
          <cell r="C228">
            <v>8.522861044403636E-2</v>
          </cell>
        </row>
        <row r="229">
          <cell r="B229">
            <v>160</v>
          </cell>
          <cell r="C229">
            <v>8.0990723736874298E-2</v>
          </cell>
        </row>
        <row r="230">
          <cell r="B230">
            <v>170</v>
          </cell>
          <cell r="C230">
            <v>7.3456702924141831E-2</v>
          </cell>
        </row>
        <row r="231">
          <cell r="B231">
            <v>180</v>
          </cell>
          <cell r="C231">
            <v>7.392757922493759E-2</v>
          </cell>
        </row>
        <row r="232">
          <cell r="B232">
            <v>190</v>
          </cell>
          <cell r="C232">
            <v>8.0048971135282754E-2</v>
          </cell>
        </row>
        <row r="233">
          <cell r="B233">
            <v>200</v>
          </cell>
          <cell r="C233">
            <v>6.498092950981775E-2</v>
          </cell>
        </row>
        <row r="234">
          <cell r="B234">
            <v>210</v>
          </cell>
          <cell r="C234">
            <v>6.7335311013796667E-2</v>
          </cell>
        </row>
        <row r="235">
          <cell r="B235">
            <v>220</v>
          </cell>
          <cell r="C235">
            <v>6.403917690822622E-2</v>
          </cell>
        </row>
        <row r="236">
          <cell r="B236">
            <v>230</v>
          </cell>
          <cell r="C236">
            <v>8.1932476338465871E-2</v>
          </cell>
        </row>
        <row r="237">
          <cell r="B237">
            <v>240</v>
          </cell>
          <cell r="C237">
            <v>5.4621650892310594E-2</v>
          </cell>
        </row>
        <row r="238">
          <cell r="B238">
            <v>250</v>
          </cell>
          <cell r="C238">
            <v>6.7806187314592453E-2</v>
          </cell>
        </row>
        <row r="239">
          <cell r="B239">
            <v>260</v>
          </cell>
          <cell r="C239">
            <v>7.0631445119367142E-2</v>
          </cell>
        </row>
        <row r="240">
          <cell r="B240">
            <v>270</v>
          </cell>
          <cell r="C240">
            <v>7.7694589631303851E-2</v>
          </cell>
        </row>
        <row r="241">
          <cell r="B241">
            <v>280</v>
          </cell>
          <cell r="C241">
            <v>7.9107218533691182E-2</v>
          </cell>
        </row>
        <row r="242">
          <cell r="B242">
            <v>290</v>
          </cell>
          <cell r="C242">
            <v>8.2403352639261671E-2</v>
          </cell>
        </row>
        <row r="243">
          <cell r="B243">
            <v>0</v>
          </cell>
          <cell r="C243">
            <v>0.21048170645571407</v>
          </cell>
        </row>
        <row r="244">
          <cell r="B244">
            <v>10</v>
          </cell>
          <cell r="C244">
            <v>0.14173376653953007</v>
          </cell>
        </row>
        <row r="245">
          <cell r="B245">
            <v>20</v>
          </cell>
          <cell r="C245">
            <v>0.14926778735226254</v>
          </cell>
        </row>
        <row r="246">
          <cell r="B246">
            <v>30</v>
          </cell>
          <cell r="C246">
            <v>0.13137448792202289</v>
          </cell>
        </row>
        <row r="247">
          <cell r="B247">
            <v>40</v>
          </cell>
          <cell r="C247">
            <v>0.11065593068700852</v>
          </cell>
        </row>
        <row r="248">
          <cell r="B248">
            <v>50</v>
          </cell>
          <cell r="C248">
            <v>9.2762631256768827E-2</v>
          </cell>
        </row>
        <row r="249">
          <cell r="B249">
            <v>60</v>
          </cell>
          <cell r="C249">
            <v>6.545180581061355E-2</v>
          </cell>
        </row>
        <row r="250">
          <cell r="B250">
            <v>70</v>
          </cell>
          <cell r="C250">
            <v>6.968969251777557E-2</v>
          </cell>
        </row>
        <row r="251">
          <cell r="B251">
            <v>80</v>
          </cell>
          <cell r="C251">
            <v>6.4510053209021964E-2</v>
          </cell>
        </row>
        <row r="252">
          <cell r="B252">
            <v>90</v>
          </cell>
          <cell r="C252">
            <v>5.5092527193106353E-2</v>
          </cell>
        </row>
        <row r="253">
          <cell r="B253">
            <v>100</v>
          </cell>
          <cell r="C253">
            <v>6.2155671705043061E-2</v>
          </cell>
        </row>
        <row r="254">
          <cell r="B254">
            <v>110</v>
          </cell>
          <cell r="C254">
            <v>7.6281960728916492E-2</v>
          </cell>
        </row>
        <row r="255">
          <cell r="B255">
            <v>120</v>
          </cell>
          <cell r="C255">
            <v>8.2874228940057457E-2</v>
          </cell>
        </row>
        <row r="256">
          <cell r="B256">
            <v>130</v>
          </cell>
          <cell r="C256">
            <v>8.664123934642369E-2</v>
          </cell>
        </row>
        <row r="257">
          <cell r="B257">
            <v>140</v>
          </cell>
          <cell r="C257">
            <v>8.9466497151198379E-2</v>
          </cell>
        </row>
        <row r="258">
          <cell r="B258">
            <v>150</v>
          </cell>
          <cell r="C258">
            <v>7.9107218533691182E-2</v>
          </cell>
        </row>
        <row r="259">
          <cell r="B259">
            <v>160</v>
          </cell>
          <cell r="C259">
            <v>8.6170363045627904E-2</v>
          </cell>
        </row>
        <row r="260">
          <cell r="B260">
            <v>170</v>
          </cell>
          <cell r="C260">
            <v>7.9107218533691182E-2</v>
          </cell>
        </row>
        <row r="261">
          <cell r="B261">
            <v>180</v>
          </cell>
          <cell r="C261">
            <v>6.968969251777557E-2</v>
          </cell>
        </row>
        <row r="262">
          <cell r="B262">
            <v>190</v>
          </cell>
          <cell r="C262">
            <v>5.4150774591514808E-2</v>
          </cell>
        </row>
        <row r="263">
          <cell r="B263">
            <v>200</v>
          </cell>
          <cell r="C263">
            <v>5.6976032396289497E-2</v>
          </cell>
        </row>
        <row r="264">
          <cell r="B264">
            <v>210</v>
          </cell>
          <cell r="C264">
            <v>6.7806187314592453E-2</v>
          </cell>
        </row>
        <row r="265">
          <cell r="B265">
            <v>220</v>
          </cell>
          <cell r="C265">
            <v>5.7917784997881042E-2</v>
          </cell>
        </row>
        <row r="266">
          <cell r="B266">
            <v>230</v>
          </cell>
          <cell r="C266">
            <v>6.0743042802655738E-2</v>
          </cell>
        </row>
        <row r="267">
          <cell r="B267">
            <v>240</v>
          </cell>
          <cell r="C267">
            <v>6.4510053209021964E-2</v>
          </cell>
        </row>
        <row r="268">
          <cell r="B268">
            <v>250</v>
          </cell>
          <cell r="C268">
            <v>5.6976032396289497E-2</v>
          </cell>
        </row>
        <row r="269">
          <cell r="B269">
            <v>260</v>
          </cell>
          <cell r="C269">
            <v>7.6281960728916492E-2</v>
          </cell>
        </row>
        <row r="270">
          <cell r="B270">
            <v>270</v>
          </cell>
          <cell r="C270">
            <v>7.7694589631303851E-2</v>
          </cell>
        </row>
        <row r="271">
          <cell r="B271">
            <v>280</v>
          </cell>
          <cell r="C271">
            <v>5.7446908697085255E-2</v>
          </cell>
        </row>
        <row r="272">
          <cell r="B272">
            <v>0</v>
          </cell>
          <cell r="C272">
            <v>0.1309036116212271</v>
          </cell>
        </row>
        <row r="273">
          <cell r="B273">
            <v>10</v>
          </cell>
          <cell r="C273">
            <v>0.10265103357348022</v>
          </cell>
        </row>
        <row r="274">
          <cell r="B274">
            <v>20</v>
          </cell>
          <cell r="C274">
            <v>8.8053868248811021E-2</v>
          </cell>
        </row>
        <row r="275">
          <cell r="B275">
            <v>30</v>
          </cell>
          <cell r="C275">
            <v>6.403917690822622E-2</v>
          </cell>
        </row>
        <row r="276">
          <cell r="B276">
            <v>40</v>
          </cell>
          <cell r="C276">
            <v>7.1102321420162928E-2</v>
          </cell>
        </row>
        <row r="277">
          <cell r="B277">
            <v>50</v>
          </cell>
          <cell r="C277">
            <v>4.3320619673211824E-2</v>
          </cell>
        </row>
        <row r="278">
          <cell r="B278">
            <v>60</v>
          </cell>
          <cell r="C278">
            <v>5.1796393087535905E-2</v>
          </cell>
        </row>
        <row r="279">
          <cell r="B279">
            <v>70</v>
          </cell>
          <cell r="C279">
            <v>0.11065593068700852</v>
          </cell>
        </row>
        <row r="280">
          <cell r="B280">
            <v>80</v>
          </cell>
          <cell r="C280">
            <v>0.21283608795969297</v>
          </cell>
        </row>
        <row r="281">
          <cell r="B281">
            <v>0</v>
          </cell>
          <cell r="C281">
            <v>8.5699486744832104E-2</v>
          </cell>
        </row>
        <row r="282">
          <cell r="B282">
            <v>10</v>
          </cell>
          <cell r="C282">
            <v>7.0631445119367142E-2</v>
          </cell>
        </row>
        <row r="283">
          <cell r="B283">
            <v>20</v>
          </cell>
          <cell r="C283">
            <v>7.2514950322550259E-2</v>
          </cell>
        </row>
        <row r="284">
          <cell r="B284">
            <v>30</v>
          </cell>
          <cell r="C284">
            <v>6.6864434713000867E-2</v>
          </cell>
        </row>
        <row r="285">
          <cell r="B285">
            <v>40</v>
          </cell>
          <cell r="C285">
            <v>5.6034279794697925E-2</v>
          </cell>
        </row>
        <row r="286">
          <cell r="B286">
            <v>50</v>
          </cell>
          <cell r="C286">
            <v>8.9466497151198379E-2</v>
          </cell>
        </row>
        <row r="287">
          <cell r="B287">
            <v>60</v>
          </cell>
          <cell r="C287">
            <v>5.6034279794697925E-2</v>
          </cell>
        </row>
        <row r="288">
          <cell r="B288">
            <v>70</v>
          </cell>
          <cell r="C288">
            <v>3.814098036445826E-2</v>
          </cell>
        </row>
        <row r="289">
          <cell r="B289">
            <v>80</v>
          </cell>
          <cell r="C289">
            <v>3.4373969958091992E-2</v>
          </cell>
        </row>
        <row r="290">
          <cell r="B290">
            <v>90</v>
          </cell>
          <cell r="C290">
            <v>5.7446908697085255E-2</v>
          </cell>
        </row>
        <row r="291">
          <cell r="B291">
            <v>100</v>
          </cell>
          <cell r="C291">
            <v>8.1461600037670084E-2</v>
          </cell>
        </row>
        <row r="292">
          <cell r="B292">
            <v>110</v>
          </cell>
          <cell r="C292">
            <v>0.11536469369496632</v>
          </cell>
        </row>
        <row r="293">
          <cell r="B293">
            <v>120</v>
          </cell>
          <cell r="C293">
            <v>0.14973866365305832</v>
          </cell>
        </row>
        <row r="294">
          <cell r="B294">
            <v>0</v>
          </cell>
          <cell r="C294">
            <v>0.10783067288223383</v>
          </cell>
        </row>
        <row r="295">
          <cell r="B295">
            <v>10</v>
          </cell>
          <cell r="C295">
            <v>0.11348118849178321</v>
          </cell>
        </row>
        <row r="296">
          <cell r="B296">
            <v>20</v>
          </cell>
          <cell r="C296">
            <v>0.11395206479257897</v>
          </cell>
        </row>
        <row r="297">
          <cell r="B297">
            <v>30</v>
          </cell>
          <cell r="C297">
            <v>0.10123840467109291</v>
          </cell>
        </row>
        <row r="298">
          <cell r="B298">
            <v>40</v>
          </cell>
          <cell r="C298">
            <v>5.7917784997881042E-2</v>
          </cell>
        </row>
        <row r="299">
          <cell r="B299">
            <v>50</v>
          </cell>
          <cell r="C299">
            <v>4.0966238169232921E-2</v>
          </cell>
        </row>
        <row r="300">
          <cell r="B300">
            <v>60</v>
          </cell>
          <cell r="C300">
            <v>2.8723454348542628E-2</v>
          </cell>
        </row>
        <row r="301">
          <cell r="B301">
            <v>70</v>
          </cell>
          <cell r="C301">
            <v>4.1437114470028708E-2</v>
          </cell>
        </row>
        <row r="302">
          <cell r="B302">
            <v>80</v>
          </cell>
          <cell r="C302">
            <v>7.9578094834486968E-2</v>
          </cell>
        </row>
        <row r="303">
          <cell r="B303">
            <v>90</v>
          </cell>
          <cell r="C303">
            <v>7.6752837029712279E-2</v>
          </cell>
        </row>
        <row r="304">
          <cell r="B304">
            <v>100</v>
          </cell>
          <cell r="C304">
            <v>6.5922682111409336E-2</v>
          </cell>
        </row>
        <row r="305">
          <cell r="B305">
            <v>110</v>
          </cell>
          <cell r="C305">
            <v>9.5587889061543516E-2</v>
          </cell>
        </row>
        <row r="306">
          <cell r="B306">
            <v>120</v>
          </cell>
          <cell r="C306">
            <v>0.11301031219098742</v>
          </cell>
        </row>
        <row r="307">
          <cell r="B307">
            <v>130</v>
          </cell>
          <cell r="C307">
            <v>0.20671469604934783</v>
          </cell>
        </row>
        <row r="308">
          <cell r="B308">
            <v>140</v>
          </cell>
          <cell r="C308">
            <v>0.21566134576446769</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83CF-9A1E-464C-AF58-525F2CEAFB7E}">
  <dimension ref="A1:B9"/>
  <sheetViews>
    <sheetView tabSelected="1" workbookViewId="0">
      <selection activeCell="F12" sqref="F12"/>
    </sheetView>
  </sheetViews>
  <sheetFormatPr baseColWidth="10" defaultRowHeight="15" x14ac:dyDescent="0.2"/>
  <cols>
    <col min="1" max="1" width="27.33203125" customWidth="1"/>
  </cols>
  <sheetData>
    <row r="1" spans="1:2" x14ac:dyDescent="0.2">
      <c r="A1" s="1" t="s">
        <v>73</v>
      </c>
    </row>
    <row r="3" spans="1:2" x14ac:dyDescent="0.2">
      <c r="A3" s="1" t="s">
        <v>40</v>
      </c>
      <c r="B3" s="1" t="s">
        <v>41</v>
      </c>
    </row>
    <row r="4" spans="1:2" x14ac:dyDescent="0.2">
      <c r="A4" t="s">
        <v>42</v>
      </c>
      <c r="B4" t="s">
        <v>71</v>
      </c>
    </row>
    <row r="5" spans="1:2" x14ac:dyDescent="0.2">
      <c r="A5" t="s">
        <v>43</v>
      </c>
      <c r="B5" t="s">
        <v>72</v>
      </c>
    </row>
    <row r="6" spans="1:2" x14ac:dyDescent="0.2">
      <c r="A6" t="s">
        <v>51</v>
      </c>
      <c r="B6" t="s">
        <v>52</v>
      </c>
    </row>
    <row r="7" spans="1:2" x14ac:dyDescent="0.2">
      <c r="A7" t="s">
        <v>67</v>
      </c>
      <c r="B7" t="s">
        <v>70</v>
      </c>
    </row>
    <row r="8" spans="1:2" x14ac:dyDescent="0.2">
      <c r="A8" t="s">
        <v>68</v>
      </c>
      <c r="B8" t="s">
        <v>69</v>
      </c>
    </row>
    <row r="9" spans="1:2" x14ac:dyDescent="0.2">
      <c r="A9" t="s">
        <v>90</v>
      </c>
      <c r="B9"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4D39-A61C-45EB-B011-E6405AD100D6}">
  <dimension ref="A1:AB101"/>
  <sheetViews>
    <sheetView workbookViewId="0">
      <selection activeCell="A24" sqref="A24"/>
    </sheetView>
  </sheetViews>
  <sheetFormatPr baseColWidth="10" defaultColWidth="8.83203125" defaultRowHeight="15" x14ac:dyDescent="0.2"/>
  <cols>
    <col min="2" max="2" width="9.6640625" customWidth="1"/>
    <col min="3" max="3" width="12.33203125" bestFit="1" customWidth="1"/>
    <col min="4" max="4" width="10" customWidth="1"/>
    <col min="5" max="5" width="10" bestFit="1" customWidth="1"/>
    <col min="6" max="6" width="9.5" bestFit="1" customWidth="1"/>
    <col min="8" max="8" width="10" bestFit="1" customWidth="1"/>
    <col min="9" max="9" width="9.5" bestFit="1" customWidth="1"/>
    <col min="10" max="10" width="9.6640625" bestFit="1" customWidth="1"/>
    <col min="13" max="13" width="10" bestFit="1" customWidth="1"/>
    <col min="14" max="14" width="9.5" bestFit="1" customWidth="1"/>
    <col min="15" max="15" width="8.6640625" bestFit="1" customWidth="1"/>
    <col min="16" max="17" width="10" bestFit="1" customWidth="1"/>
    <col min="18" max="18" width="9.5" bestFit="1" customWidth="1"/>
    <col min="19" max="19" width="9.6640625" bestFit="1" customWidth="1"/>
    <col min="20" max="20" width="10" bestFit="1" customWidth="1"/>
    <col min="21" max="21" width="17.6640625" customWidth="1"/>
    <col min="22" max="22" width="8.1640625" style="15" customWidth="1"/>
  </cols>
  <sheetData>
    <row r="1" spans="1:23" s="1" customFormat="1" x14ac:dyDescent="0.2">
      <c r="A1" s="1" t="s">
        <v>92</v>
      </c>
      <c r="B1" s="1" t="s">
        <v>0</v>
      </c>
      <c r="C1" s="1" t="s">
        <v>1</v>
      </c>
      <c r="D1" s="2">
        <v>43313</v>
      </c>
      <c r="E1" s="2">
        <v>43344</v>
      </c>
      <c r="F1" s="2">
        <v>43374</v>
      </c>
      <c r="G1" s="2">
        <v>43405</v>
      </c>
      <c r="H1" s="2">
        <v>43435</v>
      </c>
      <c r="I1" s="2">
        <v>43466</v>
      </c>
      <c r="J1" s="2">
        <v>43497</v>
      </c>
      <c r="K1" s="2">
        <v>43525</v>
      </c>
      <c r="L1" s="2">
        <v>43556</v>
      </c>
      <c r="M1" s="2">
        <v>43586</v>
      </c>
      <c r="N1" s="2">
        <v>43617</v>
      </c>
      <c r="O1" s="2">
        <v>43647</v>
      </c>
      <c r="P1" s="2">
        <v>43678</v>
      </c>
      <c r="Q1" s="2">
        <v>43709</v>
      </c>
      <c r="R1" s="2">
        <v>43739</v>
      </c>
      <c r="S1" s="2">
        <v>43770</v>
      </c>
      <c r="T1" s="2">
        <v>43800</v>
      </c>
      <c r="U1" s="2">
        <v>43831</v>
      </c>
      <c r="V1" s="3" t="s">
        <v>2</v>
      </c>
      <c r="W1" s="1" t="s">
        <v>3</v>
      </c>
    </row>
    <row r="2" spans="1:23" x14ac:dyDescent="0.2">
      <c r="A2" t="s">
        <v>96</v>
      </c>
      <c r="B2" t="s">
        <v>4</v>
      </c>
      <c r="C2">
        <v>2</v>
      </c>
      <c r="D2" s="4">
        <v>0</v>
      </c>
      <c r="K2" s="5">
        <v>-0.20000000000000284</v>
      </c>
      <c r="L2" s="5">
        <v>-0.5</v>
      </c>
      <c r="U2" s="4">
        <v>-0.20000000000000284</v>
      </c>
      <c r="V2" s="6">
        <f>(MAX(D2:U2)-MIN(D2:U2))</f>
        <v>0.5</v>
      </c>
      <c r="W2" t="s">
        <v>5</v>
      </c>
    </row>
    <row r="3" spans="1:23" x14ac:dyDescent="0.2">
      <c r="A3" t="s">
        <v>96</v>
      </c>
      <c r="B3" t="s">
        <v>4</v>
      </c>
      <c r="C3">
        <v>5</v>
      </c>
      <c r="D3">
        <v>0</v>
      </c>
      <c r="K3" s="6">
        <v>-2.0499999999999972</v>
      </c>
      <c r="L3" s="6">
        <v>-2.0000000000000142</v>
      </c>
      <c r="U3">
        <v>-2.3000000000000114</v>
      </c>
      <c r="V3" s="6">
        <f>(MAX(D3:U3)-MIN(D3:U3))</f>
        <v>2.3000000000000114</v>
      </c>
    </row>
    <row r="4" spans="1:23" x14ac:dyDescent="0.2">
      <c r="A4" t="s">
        <v>96</v>
      </c>
      <c r="B4" t="s">
        <v>4</v>
      </c>
      <c r="C4">
        <v>6</v>
      </c>
      <c r="D4">
        <v>0</v>
      </c>
      <c r="K4" s="6">
        <v>-1.9499999999999744</v>
      </c>
      <c r="L4" s="6">
        <v>-1.8999999999999773</v>
      </c>
      <c r="U4">
        <v>-0.5999999999999801</v>
      </c>
      <c r="V4" s="6">
        <f>(MAX(D4:U4)-MIN(D4:U4))</f>
        <v>1.9499999999999744</v>
      </c>
    </row>
    <row r="5" spans="1:23" x14ac:dyDescent="0.2">
      <c r="A5" t="s">
        <v>96</v>
      </c>
      <c r="B5" t="s">
        <v>4</v>
      </c>
      <c r="C5">
        <v>7</v>
      </c>
      <c r="D5">
        <v>0</v>
      </c>
      <c r="K5" s="6">
        <v>3.0499999999999972</v>
      </c>
      <c r="L5" s="6">
        <v>3.6999999999999886</v>
      </c>
      <c r="U5" s="4">
        <v>-0.30000000000001137</v>
      </c>
      <c r="V5" s="6">
        <f>(MAX(D5:U5)-MIN(D5:U5))</f>
        <v>4</v>
      </c>
      <c r="W5" t="s">
        <v>6</v>
      </c>
    </row>
    <row r="6" spans="1:23" s="1" customFormat="1" x14ac:dyDescent="0.2">
      <c r="A6" t="s">
        <v>96</v>
      </c>
      <c r="B6" s="1" t="s">
        <v>4</v>
      </c>
      <c r="C6" s="1" t="s">
        <v>44</v>
      </c>
      <c r="D6" s="1">
        <v>0</v>
      </c>
      <c r="K6" s="7">
        <f>AVERAGE(K2:K5)</f>
        <v>-0.28749999999999432</v>
      </c>
      <c r="L6" s="7">
        <f>AVERAGE(L2:L5)</f>
        <v>-0.17500000000000071</v>
      </c>
      <c r="M6" s="7"/>
      <c r="N6" s="7"/>
      <c r="O6" s="7"/>
      <c r="P6" s="7"/>
      <c r="Q6" s="7"/>
      <c r="R6" s="7"/>
      <c r="S6" s="7"/>
      <c r="T6" s="7"/>
      <c r="U6" s="7">
        <f t="shared" ref="U6:V6" si="0">AVERAGE(U2:U5)</f>
        <v>-0.85000000000000142</v>
      </c>
      <c r="V6" s="7">
        <f t="shared" si="0"/>
        <v>2.1874999999999964</v>
      </c>
    </row>
    <row r="7" spans="1:23" x14ac:dyDescent="0.2">
      <c r="A7" t="s">
        <v>96</v>
      </c>
      <c r="B7" s="8" t="s">
        <v>4</v>
      </c>
      <c r="C7" s="9" t="s">
        <v>45</v>
      </c>
      <c r="D7" s="9"/>
      <c r="E7" s="10"/>
      <c r="F7" s="10"/>
      <c r="G7" s="10"/>
      <c r="H7" s="10"/>
      <c r="I7" s="10"/>
      <c r="J7" s="10"/>
      <c r="K7" s="11">
        <v>11.899999999999993</v>
      </c>
      <c r="L7" s="11">
        <v>20.799999999999997</v>
      </c>
      <c r="M7" s="10"/>
      <c r="N7" s="10"/>
      <c r="O7" s="10"/>
      <c r="P7" s="10"/>
      <c r="Q7" s="10"/>
      <c r="R7" s="10"/>
      <c r="S7" s="10"/>
      <c r="T7" s="10"/>
      <c r="U7" s="10"/>
      <c r="V7" s="6">
        <f t="shared" ref="V7:V12" si="1">(MAX(D7:U7)-MIN(D7:U7))</f>
        <v>8.9000000000000039</v>
      </c>
      <c r="W7" t="s">
        <v>7</v>
      </c>
    </row>
    <row r="8" spans="1:23" x14ac:dyDescent="0.2">
      <c r="A8" t="s">
        <v>96</v>
      </c>
      <c r="B8" t="s">
        <v>8</v>
      </c>
      <c r="C8">
        <v>1</v>
      </c>
      <c r="D8">
        <v>0</v>
      </c>
      <c r="G8">
        <v>-0.60000000000000853</v>
      </c>
      <c r="K8" s="6">
        <v>-1.8000000000000114</v>
      </c>
      <c r="L8" s="6">
        <v>-2.1000000000000085</v>
      </c>
      <c r="U8">
        <f>[1]Martha_cm!C13-[1]Martha_cm!AF13</f>
        <v>-8.5</v>
      </c>
      <c r="V8" s="6">
        <f t="shared" si="1"/>
        <v>8.5</v>
      </c>
      <c r="W8" s="1"/>
    </row>
    <row r="9" spans="1:23" x14ac:dyDescent="0.2">
      <c r="A9" t="s">
        <v>96</v>
      </c>
      <c r="B9" t="s">
        <v>8</v>
      </c>
      <c r="C9">
        <v>4</v>
      </c>
      <c r="D9">
        <v>0</v>
      </c>
      <c r="G9">
        <v>1.8000000000000114</v>
      </c>
      <c r="K9" s="6">
        <v>2.0000000000000142</v>
      </c>
      <c r="L9" s="6">
        <v>1.9000000000000057</v>
      </c>
      <c r="U9">
        <f>[1]Martha_cm!C16-[1]Martha_cm!AF16</f>
        <v>-6.8999999999999915</v>
      </c>
      <c r="V9" s="6">
        <f t="shared" si="1"/>
        <v>8.9000000000000057</v>
      </c>
    </row>
    <row r="10" spans="1:23" x14ac:dyDescent="0.2">
      <c r="A10" t="s">
        <v>96</v>
      </c>
      <c r="B10" t="s">
        <v>8</v>
      </c>
      <c r="C10">
        <v>6</v>
      </c>
      <c r="D10">
        <v>0</v>
      </c>
      <c r="G10">
        <v>3.7999999999999972</v>
      </c>
      <c r="K10" s="6">
        <v>1.8999999999999915</v>
      </c>
      <c r="L10" s="6">
        <v>-1.8000000000000114</v>
      </c>
      <c r="U10">
        <f>[1]Martha_cm!C18-[1]Martha_cm!AF18</f>
        <v>-6.6000000000000085</v>
      </c>
      <c r="V10" s="6">
        <f t="shared" si="1"/>
        <v>10.400000000000006</v>
      </c>
    </row>
    <row r="11" spans="1:23" x14ac:dyDescent="0.2">
      <c r="A11" t="s">
        <v>96</v>
      </c>
      <c r="B11" t="s">
        <v>8</v>
      </c>
      <c r="C11">
        <v>9</v>
      </c>
      <c r="D11">
        <v>0</v>
      </c>
      <c r="G11">
        <v>1.9000000000000057</v>
      </c>
      <c r="K11" s="6">
        <v>-3.1000000000000085</v>
      </c>
      <c r="L11" s="6">
        <v>-2.8000000000000114</v>
      </c>
      <c r="U11">
        <f>[1]Martha_cm!C21-[1]Martha_cm!AF21</f>
        <v>-4.0999999999999943</v>
      </c>
      <c r="V11" s="6">
        <f t="shared" si="1"/>
        <v>6</v>
      </c>
    </row>
    <row r="12" spans="1:23" x14ac:dyDescent="0.2">
      <c r="A12" t="s">
        <v>96</v>
      </c>
      <c r="B12" t="s">
        <v>8</v>
      </c>
      <c r="C12">
        <v>10</v>
      </c>
      <c r="D12">
        <v>0</v>
      </c>
      <c r="G12">
        <v>0.20000000000000284</v>
      </c>
      <c r="K12" s="6">
        <v>0.75000000000001421</v>
      </c>
      <c r="L12" s="6">
        <v>0.90000000000000568</v>
      </c>
      <c r="U12">
        <f>[1]Martha_cm!C22-[1]Martha_cm!AF22</f>
        <v>-2.8999999999999915</v>
      </c>
      <c r="V12" s="6">
        <f t="shared" si="1"/>
        <v>3.7999999999999972</v>
      </c>
    </row>
    <row r="13" spans="1:23" s="1" customFormat="1" x14ac:dyDescent="0.2">
      <c r="A13" t="s">
        <v>96</v>
      </c>
      <c r="B13" s="1" t="s">
        <v>8</v>
      </c>
      <c r="C13" s="1" t="s">
        <v>44</v>
      </c>
      <c r="D13" s="1">
        <v>0</v>
      </c>
      <c r="G13" s="1">
        <f>AVERAGE(G8:G12)</f>
        <v>1.4200000000000017</v>
      </c>
      <c r="K13" s="1">
        <f>AVERAGE(K8:K12)</f>
        <v>-0.05</v>
      </c>
      <c r="L13" s="1">
        <f>AVERAGE(L8:L12)</f>
        <v>-0.78000000000000402</v>
      </c>
      <c r="U13" s="1">
        <f>AVERAGE(U8:U12)</f>
        <v>-5.7999999999999972</v>
      </c>
      <c r="V13" s="1">
        <f t="shared" ref="V13" si="2">AVERAGE(V8:V12)</f>
        <v>7.5200000000000014</v>
      </c>
    </row>
    <row r="14" spans="1:23" x14ac:dyDescent="0.2">
      <c r="A14" t="s">
        <v>96</v>
      </c>
      <c r="B14" t="s">
        <v>8</v>
      </c>
      <c r="C14" s="9" t="s">
        <v>45</v>
      </c>
      <c r="D14" s="9"/>
      <c r="E14" s="9"/>
      <c r="F14" s="9"/>
      <c r="G14" s="9"/>
      <c r="H14" s="9"/>
      <c r="I14" s="9"/>
      <c r="J14" s="9"/>
      <c r="K14" s="12"/>
      <c r="L14" s="12"/>
      <c r="M14" s="9"/>
      <c r="N14" s="9"/>
      <c r="O14" s="9"/>
      <c r="P14" s="9"/>
      <c r="Q14" s="9"/>
      <c r="R14" s="9"/>
      <c r="S14" s="9"/>
      <c r="T14" s="9"/>
      <c r="U14" s="9"/>
      <c r="V14" s="6">
        <f t="shared" ref="V14:V21" si="3">(MAX(D14:U14)-MIN(D14:U14))</f>
        <v>0</v>
      </c>
      <c r="W14" t="s">
        <v>9</v>
      </c>
    </row>
    <row r="15" spans="1:23" x14ac:dyDescent="0.2">
      <c r="A15" t="s">
        <v>96</v>
      </c>
      <c r="B15" t="s">
        <v>10</v>
      </c>
      <c r="C15">
        <v>5</v>
      </c>
      <c r="D15">
        <v>0</v>
      </c>
      <c r="G15">
        <f>[1]Martha_cm!O34-[1]Martha_cm!R34</f>
        <v>1.6999999999999886</v>
      </c>
      <c r="K15" s="6">
        <f>[1]Martha_cm!O34-[1]Martha_cm!V34</f>
        <v>2.7999999999999829</v>
      </c>
      <c r="L15" s="6">
        <f>[1]Martha_cm!O34-[1]Martha_cm!W34</f>
        <v>4.0999999999999801</v>
      </c>
      <c r="U15">
        <f>[1]Martha_cm!O34-[1]Martha_cm!AF34</f>
        <v>3.4999999999999858</v>
      </c>
      <c r="V15" s="6">
        <f t="shared" si="3"/>
        <v>4.0999999999999801</v>
      </c>
    </row>
    <row r="16" spans="1:23" x14ac:dyDescent="0.2">
      <c r="A16" t="s">
        <v>96</v>
      </c>
      <c r="B16" t="s">
        <v>10</v>
      </c>
      <c r="C16">
        <v>7</v>
      </c>
      <c r="D16">
        <v>0</v>
      </c>
      <c r="G16">
        <f>[1]Martha_cm!O36-[1]Martha_cm!R36</f>
        <v>6</v>
      </c>
      <c r="K16" s="6">
        <f>[1]Martha_cm!O36-[1]Martha_cm!V36</f>
        <v>7.2999999999999972</v>
      </c>
      <c r="L16" s="5">
        <f>[1]Martha_cm!O36-[1]Martha_cm!W36</f>
        <v>6.7999999999999972</v>
      </c>
      <c r="U16" s="4">
        <f>[1]Martha_cm!O36-[1]Martha_cm!AF36</f>
        <v>8.2999999999999972</v>
      </c>
      <c r="V16" s="6">
        <f t="shared" si="3"/>
        <v>8.2999999999999972</v>
      </c>
      <c r="W16" t="s">
        <v>11</v>
      </c>
    </row>
    <row r="17" spans="1:23" x14ac:dyDescent="0.2">
      <c r="A17" t="s">
        <v>96</v>
      </c>
      <c r="B17" t="s">
        <v>10</v>
      </c>
      <c r="C17">
        <v>8</v>
      </c>
      <c r="D17">
        <v>0</v>
      </c>
      <c r="G17" s="4">
        <f>[1]Martha_cm!O37-[1]Martha_cm!R37</f>
        <v>4.7999999999999829</v>
      </c>
      <c r="K17" s="5">
        <f>[1]Martha_cm!O37-[1]Martha_cm!V37</f>
        <v>4.5999999999999801</v>
      </c>
      <c r="L17" s="5">
        <f>[1]Martha_cm!O37-[1]Martha_cm!W37</f>
        <v>3.7999999999999829</v>
      </c>
      <c r="U17" s="4">
        <f>[1]Martha_cm!O37-[1]Martha_cm!AF37</f>
        <v>3.3999999999999915</v>
      </c>
      <c r="V17" s="6">
        <f t="shared" si="3"/>
        <v>4.7999999999999829</v>
      </c>
      <c r="W17" t="s">
        <v>12</v>
      </c>
    </row>
    <row r="18" spans="1:23" x14ac:dyDescent="0.2">
      <c r="A18" t="s">
        <v>96</v>
      </c>
      <c r="B18" t="s">
        <v>10</v>
      </c>
      <c r="C18">
        <v>9</v>
      </c>
      <c r="D18">
        <v>0</v>
      </c>
      <c r="G18" s="4">
        <f>[1]Martha_cm!O38-[1]Martha_cm!R38</f>
        <v>2.2000000000000028</v>
      </c>
      <c r="K18" s="5">
        <f>[1]Martha_cm!O38-[1]Martha_cm!V38</f>
        <v>1.3500000000000085</v>
      </c>
      <c r="L18" s="5">
        <f>[1]Martha_cm!O38-[1]Martha_cm!W38</f>
        <v>-1.4999999999999858</v>
      </c>
      <c r="U18" s="4">
        <f>[1]Martha_cm!O38-[1]Martha_cm!AF38</f>
        <v>3.7000000000000171</v>
      </c>
      <c r="V18" s="6">
        <f t="shared" si="3"/>
        <v>5.2000000000000028</v>
      </c>
      <c r="W18" t="s">
        <v>12</v>
      </c>
    </row>
    <row r="19" spans="1:23" x14ac:dyDescent="0.2">
      <c r="A19" t="s">
        <v>96</v>
      </c>
      <c r="B19" t="s">
        <v>10</v>
      </c>
      <c r="C19">
        <v>11</v>
      </c>
      <c r="D19">
        <v>0</v>
      </c>
      <c r="G19">
        <f>[1]Martha_cm!O40-[1]Martha_cm!R40</f>
        <v>6.1000000000000085</v>
      </c>
      <c r="K19" s="6">
        <f>[1]Martha_cm!O40-[1]Martha_cm!V40</f>
        <v>4.2500000000000142</v>
      </c>
      <c r="L19" s="5">
        <f>[1]Martha_cm!O40-[1]Martha_cm!W40</f>
        <v>3.2000000000000028</v>
      </c>
      <c r="U19" s="4">
        <f>[1]Martha_cm!O40-[1]Martha_cm!AF40</f>
        <v>8.2000000000000028</v>
      </c>
      <c r="V19" s="6">
        <f t="shared" si="3"/>
        <v>8.2000000000000028</v>
      </c>
      <c r="W19" t="s">
        <v>11</v>
      </c>
    </row>
    <row r="20" spans="1:23" x14ac:dyDescent="0.2">
      <c r="A20" t="s">
        <v>96</v>
      </c>
      <c r="B20" t="s">
        <v>10</v>
      </c>
      <c r="C20">
        <v>12</v>
      </c>
      <c r="D20">
        <v>0</v>
      </c>
      <c r="G20" s="4">
        <f>[1]Martha_cm!O41-[1]Martha_cm!R41</f>
        <v>4.8999999999999915</v>
      </c>
      <c r="K20" s="5">
        <f>[1]Martha_cm!O41-[1]Martha_cm!V41</f>
        <v>3.3499999999999801</v>
      </c>
      <c r="L20" s="5">
        <f>[1]Martha_cm!O41-[1]Martha_cm!W41</f>
        <v>3.2999999999999972</v>
      </c>
      <c r="U20" s="4">
        <f>[1]Martha_cm!O41-[1]Martha_cm!AF41</f>
        <v>8.5999999999999943</v>
      </c>
      <c r="V20" s="6">
        <f t="shared" si="3"/>
        <v>8.5999999999999943</v>
      </c>
      <c r="W20" t="s">
        <v>12</v>
      </c>
    </row>
    <row r="21" spans="1:23" x14ac:dyDescent="0.2">
      <c r="A21" t="s">
        <v>96</v>
      </c>
      <c r="B21" t="s">
        <v>10</v>
      </c>
      <c r="C21">
        <v>15</v>
      </c>
      <c r="D21">
        <v>0</v>
      </c>
      <c r="G21">
        <f>[1]Martha_cm!O44-[1]Martha_cm!R44</f>
        <v>2.3000000000000114</v>
      </c>
      <c r="K21" s="6">
        <f>[1]Martha_cm!O44-[1]Martha_cm!V44</f>
        <v>1.7000000000000028</v>
      </c>
      <c r="L21" s="5">
        <f>[1]Martha_cm!O44-[1]Martha_cm!W44</f>
        <v>1.2000000000000028</v>
      </c>
      <c r="U21" s="4">
        <f>[1]Martha_cm!O44-[1]Martha_cm!AF44</f>
        <v>4.5</v>
      </c>
      <c r="V21" s="6">
        <f t="shared" si="3"/>
        <v>4.5</v>
      </c>
      <c r="W21" t="s">
        <v>11</v>
      </c>
    </row>
    <row r="22" spans="1:23" s="1" customFormat="1" x14ac:dyDescent="0.2">
      <c r="A22" t="s">
        <v>96</v>
      </c>
      <c r="B22" s="1" t="s">
        <v>10</v>
      </c>
      <c r="C22" s="1" t="s">
        <v>44</v>
      </c>
      <c r="D22" s="1">
        <v>0</v>
      </c>
      <c r="G22" s="1">
        <f>AVERAGE(G15:G21)</f>
        <v>3.9999999999999978</v>
      </c>
      <c r="K22" s="1">
        <f t="shared" ref="K22:V22" si="4">AVERAGE(K15:K21)</f>
        <v>3.6214285714285666</v>
      </c>
      <c r="L22" s="1">
        <f t="shared" si="4"/>
        <v>2.9857142857142827</v>
      </c>
      <c r="U22" s="1">
        <f t="shared" si="4"/>
        <v>5.7428571428571411</v>
      </c>
      <c r="V22" s="1">
        <f t="shared" si="4"/>
        <v>6.2428571428571376</v>
      </c>
    </row>
    <row r="23" spans="1:23" x14ac:dyDescent="0.2">
      <c r="A23" t="s">
        <v>96</v>
      </c>
      <c r="B23" t="s">
        <v>10</v>
      </c>
      <c r="C23" s="9" t="s">
        <v>45</v>
      </c>
      <c r="D23" s="9"/>
      <c r="E23" s="9"/>
      <c r="F23" s="9"/>
      <c r="G23" s="9">
        <v>12.1</v>
      </c>
      <c r="H23" s="10"/>
      <c r="I23" s="10"/>
      <c r="J23" s="10"/>
      <c r="K23" s="12">
        <v>-31.533333333333324</v>
      </c>
      <c r="L23" s="12">
        <v>-9.4666666666666686</v>
      </c>
      <c r="M23" s="10"/>
      <c r="N23" s="10"/>
      <c r="O23" s="10"/>
      <c r="P23" s="10"/>
      <c r="Q23" s="10"/>
      <c r="R23" s="10"/>
      <c r="S23" s="10"/>
      <c r="T23" s="10"/>
      <c r="U23" s="9">
        <v>1.2666666666666679</v>
      </c>
      <c r="V23" s="6">
        <f>(MAX(D23:U23)-MIN(D23:U23))</f>
        <v>43.633333333333326</v>
      </c>
    </row>
    <row r="24" spans="1:23" x14ac:dyDescent="0.2">
      <c r="A24" t="s">
        <v>94</v>
      </c>
      <c r="B24" t="s">
        <v>13</v>
      </c>
      <c r="C24">
        <v>2</v>
      </c>
      <c r="D24">
        <v>0</v>
      </c>
      <c r="G24">
        <f>[1]Martha_cm!O48-[1]Martha_cm!R48</f>
        <v>-0.79999999999999716</v>
      </c>
      <c r="K24" s="6">
        <f>[1]Martha_cm!O48-[1]Martha_cm!V48</f>
        <v>-2.3999999999999915</v>
      </c>
      <c r="L24" s="6">
        <f>[1]Martha_cm!O48-[1]Martha_cm!W48</f>
        <v>-1.5499999999999972</v>
      </c>
      <c r="U24">
        <f>[1]Martha_cm!O48-[1]Martha_cm!AF48</f>
        <v>-4.7999999999999972</v>
      </c>
      <c r="V24" s="6">
        <f>(MAX(D24:U24)-MIN(D24:U24))</f>
        <v>4.7999999999999972</v>
      </c>
    </row>
    <row r="25" spans="1:23" x14ac:dyDescent="0.2">
      <c r="A25" t="s">
        <v>94</v>
      </c>
      <c r="B25" t="s">
        <v>13</v>
      </c>
      <c r="C25">
        <v>12</v>
      </c>
      <c r="D25">
        <v>0</v>
      </c>
      <c r="G25">
        <f>[1]Martha_cm!O58-[1]Martha_cm!R58</f>
        <v>1.2000000000000028</v>
      </c>
      <c r="K25" s="6">
        <f>[1]Martha_cm!O58-[1]Martha_cm!V58</f>
        <v>0.40000000000000568</v>
      </c>
      <c r="L25" s="6">
        <f>[1]Martha_cm!O58-[1]Martha_cm!W58</f>
        <v>0.84999999999999432</v>
      </c>
      <c r="U25">
        <f>[1]Martha_cm!O58-[1]Martha_cm!AF58</f>
        <v>1</v>
      </c>
      <c r="V25" s="6">
        <f>(MAX(D25:U25)-MIN(D25:U25))</f>
        <v>1.2000000000000028</v>
      </c>
    </row>
    <row r="26" spans="1:23" s="1" customFormat="1" x14ac:dyDescent="0.2">
      <c r="A26" t="s">
        <v>94</v>
      </c>
      <c r="B26" s="1" t="s">
        <v>13</v>
      </c>
      <c r="C26" s="1" t="s">
        <v>44</v>
      </c>
      <c r="D26" s="1">
        <v>0</v>
      </c>
      <c r="G26" s="1">
        <f>AVERAGE(G24:G25)</f>
        <v>0.20000000000000284</v>
      </c>
      <c r="K26" s="1">
        <f t="shared" ref="K26:L26" si="5">AVERAGE(K24:K25)</f>
        <v>-0.99999999999999289</v>
      </c>
      <c r="L26" s="1">
        <f t="shared" si="5"/>
        <v>-0.35000000000000142</v>
      </c>
      <c r="U26" s="1">
        <f t="shared" ref="U26" si="6">AVERAGE(U24:U25)</f>
        <v>-1.8999999999999986</v>
      </c>
      <c r="V26" s="7"/>
    </row>
    <row r="27" spans="1:23" x14ac:dyDescent="0.2">
      <c r="A27" t="s">
        <v>94</v>
      </c>
      <c r="B27" t="s">
        <v>13</v>
      </c>
      <c r="C27" s="9" t="s">
        <v>45</v>
      </c>
      <c r="D27" s="9">
        <v>-28.7</v>
      </c>
      <c r="E27" s="10"/>
      <c r="F27" s="10"/>
      <c r="G27" s="9">
        <v>-3.9333333333333358</v>
      </c>
      <c r="H27" s="10"/>
      <c r="I27" s="10"/>
      <c r="J27" s="10"/>
      <c r="K27" s="12">
        <v>-28.999999999999996</v>
      </c>
      <c r="L27" s="12">
        <v>-18.625000000000004</v>
      </c>
      <c r="M27" s="10"/>
      <c r="N27" s="10"/>
      <c r="O27" s="10"/>
      <c r="P27" s="10"/>
      <c r="Q27" s="10"/>
      <c r="R27" s="10"/>
      <c r="S27" s="10"/>
      <c r="T27" s="10"/>
      <c r="U27" s="10"/>
      <c r="V27" s="6">
        <f t="shared" ref="V27:V33" si="7">(MAX(D27:U27)-MIN(D27:U27))</f>
        <v>25.066666666666659</v>
      </c>
    </row>
    <row r="28" spans="1:23" x14ac:dyDescent="0.2">
      <c r="A28" t="s">
        <v>93</v>
      </c>
      <c r="B28" t="s">
        <v>14</v>
      </c>
      <c r="C28">
        <v>1</v>
      </c>
      <c r="D28">
        <v>0</v>
      </c>
      <c r="G28">
        <f>[1]Martha_cm!O64-[1]Martha_cm!R64</f>
        <v>1.5000000000000142</v>
      </c>
      <c r="K28" s="6">
        <f>[1]Martha_cm!O64-[1]Martha_cm!V64</f>
        <v>5.7000000000000028</v>
      </c>
      <c r="L28" s="6">
        <f>[1]Martha_cm!O64-[1]Martha_cm!W64</f>
        <v>7.4000000000000057</v>
      </c>
      <c r="U28">
        <f>[1]Martha_cm!O64-[1]Martha_cm!AF64</f>
        <v>2.5999999999999943</v>
      </c>
      <c r="V28" s="6">
        <f t="shared" si="7"/>
        <v>7.4000000000000057</v>
      </c>
      <c r="W28" s="1" t="s">
        <v>15</v>
      </c>
    </row>
    <row r="29" spans="1:23" x14ac:dyDescent="0.2">
      <c r="A29" t="s">
        <v>93</v>
      </c>
      <c r="B29" t="s">
        <v>14</v>
      </c>
      <c r="C29">
        <v>4</v>
      </c>
      <c r="D29">
        <v>0</v>
      </c>
      <c r="G29">
        <f>[1]Martha_cm!O67-[1]Martha_cm!R67</f>
        <v>-2.4000000000000057</v>
      </c>
      <c r="K29" s="6">
        <f>[1]Martha_cm!O67-[1]Martha_cm!V67</f>
        <v>-0.79999999999999716</v>
      </c>
      <c r="L29" s="6">
        <f>[1]Martha_cm!O67-[1]Martha_cm!W67</f>
        <v>-1.9500000000000171</v>
      </c>
      <c r="U29">
        <f>[1]Martha_cm!O67-[1]Martha_cm!AF67</f>
        <v>0.79999999999999716</v>
      </c>
      <c r="V29" s="6">
        <f t="shared" si="7"/>
        <v>3.2000000000000028</v>
      </c>
    </row>
    <row r="30" spans="1:23" x14ac:dyDescent="0.2">
      <c r="A30" t="s">
        <v>93</v>
      </c>
      <c r="B30" t="s">
        <v>14</v>
      </c>
      <c r="C30">
        <v>5</v>
      </c>
      <c r="D30">
        <v>0</v>
      </c>
      <c r="G30" s="4">
        <f>[1]Martha_cm!O68-[1]Martha_cm!R68</f>
        <v>-1.6000000000000085</v>
      </c>
      <c r="K30" s="5">
        <f>[1]Martha_cm!O68-[1]Martha_cm!V68</f>
        <v>-1.6000000000000085</v>
      </c>
      <c r="L30" s="5">
        <f>[1]Martha_cm!O68-[1]Martha_cm!W68</f>
        <v>0.29999999999999716</v>
      </c>
      <c r="U30" s="4">
        <f>[1]Martha_cm!O68-[1]Martha_cm!AF68</f>
        <v>-6.4000000000000057</v>
      </c>
      <c r="V30" s="6">
        <f t="shared" si="7"/>
        <v>6.7000000000000028</v>
      </c>
      <c r="W30" t="s">
        <v>16</v>
      </c>
    </row>
    <row r="31" spans="1:23" x14ac:dyDescent="0.2">
      <c r="A31" t="s">
        <v>93</v>
      </c>
      <c r="B31" t="s">
        <v>14</v>
      </c>
      <c r="C31">
        <v>7</v>
      </c>
      <c r="D31">
        <v>0</v>
      </c>
      <c r="G31" s="4">
        <f>[1]Martha_cm!O70-[1]Martha_cm!R70</f>
        <v>-0.5</v>
      </c>
      <c r="K31" s="5">
        <f>[1]Martha_cm!O70-[1]Martha_cm!V70</f>
        <v>-0.79999999999999716</v>
      </c>
      <c r="L31" s="5">
        <f>[1]Martha_cm!O70-[1]Martha_cm!W70</f>
        <v>-1.2500000000000142</v>
      </c>
      <c r="U31" s="4">
        <f>[1]Martha_cm!O70-[1]Martha_cm!AF70</f>
        <v>-1.5</v>
      </c>
      <c r="V31" s="6">
        <f t="shared" si="7"/>
        <v>1.5</v>
      </c>
      <c r="W31" t="s">
        <v>16</v>
      </c>
    </row>
    <row r="32" spans="1:23" x14ac:dyDescent="0.2">
      <c r="A32" t="s">
        <v>93</v>
      </c>
      <c r="B32" t="s">
        <v>14</v>
      </c>
      <c r="C32">
        <v>12</v>
      </c>
      <c r="D32" s="4">
        <v>0</v>
      </c>
      <c r="G32" s="4">
        <f>[1]Martha_cm!O75-[1]Martha_cm!R75</f>
        <v>-3.9999999999999858</v>
      </c>
      <c r="K32" s="5">
        <f>[1]Martha_cm!O75-[1]Martha_cm!V75</f>
        <v>-6.1999999999999886</v>
      </c>
      <c r="L32" s="5">
        <f>[1]Martha_cm!O75-[1]Martha_cm!W75</f>
        <v>-7.3999999999999915</v>
      </c>
      <c r="U32" s="4">
        <f>[1]Martha_cm!O75-[1]Martha_cm!AF75</f>
        <v>-9.7999999999999972</v>
      </c>
      <c r="V32" s="6">
        <f t="shared" si="7"/>
        <v>9.7999999999999972</v>
      </c>
      <c r="W32" t="s">
        <v>16</v>
      </c>
    </row>
    <row r="33" spans="1:23" x14ac:dyDescent="0.2">
      <c r="A33" t="s">
        <v>93</v>
      </c>
      <c r="B33" t="s">
        <v>14</v>
      </c>
      <c r="C33">
        <v>16</v>
      </c>
      <c r="D33">
        <v>0</v>
      </c>
      <c r="G33" s="4">
        <f>[1]Martha_cm!O79-[1]Martha_cm!R79</f>
        <v>1.2999999999999829</v>
      </c>
      <c r="K33" s="5">
        <f>[1]Martha_cm!O79-[1]Martha_cm!V79</f>
        <v>-2.4000000000000057</v>
      </c>
      <c r="L33" s="5">
        <f>[1]Martha_cm!O79-[1]Martha_cm!W79</f>
        <v>-6.5500000000000114</v>
      </c>
      <c r="U33" s="4">
        <f>[1]Martha_cm!O79-[1]Martha_cm!AF79</f>
        <v>-2</v>
      </c>
      <c r="V33" s="6">
        <f t="shared" si="7"/>
        <v>7.8499999999999943</v>
      </c>
      <c r="W33" t="s">
        <v>16</v>
      </c>
    </row>
    <row r="34" spans="1:23" s="1" customFormat="1" x14ac:dyDescent="0.2">
      <c r="A34" t="s">
        <v>93</v>
      </c>
      <c r="B34" s="1" t="s">
        <v>14</v>
      </c>
      <c r="C34" s="1" t="s">
        <v>44</v>
      </c>
      <c r="D34" s="1">
        <v>0</v>
      </c>
      <c r="G34" s="1">
        <f>AVERAGE(G28:G33)</f>
        <v>-0.95000000000000051</v>
      </c>
      <c r="K34" s="1">
        <f t="shared" ref="K34:V34" si="8">AVERAGE(K28:K33)</f>
        <v>-1.0166666666666657</v>
      </c>
      <c r="L34" s="1">
        <f t="shared" si="8"/>
        <v>-1.5750000000000053</v>
      </c>
      <c r="U34" s="1">
        <f t="shared" si="8"/>
        <v>-2.7166666666666686</v>
      </c>
      <c r="V34" s="1">
        <f t="shared" si="8"/>
        <v>6.0750000000000002</v>
      </c>
    </row>
    <row r="35" spans="1:23" x14ac:dyDescent="0.2">
      <c r="A35" t="s">
        <v>93</v>
      </c>
      <c r="B35" t="s">
        <v>14</v>
      </c>
      <c r="C35" s="9" t="s">
        <v>45</v>
      </c>
      <c r="D35" s="10"/>
      <c r="E35" s="10"/>
      <c r="F35" s="10"/>
      <c r="G35" s="9">
        <v>-12.6</v>
      </c>
      <c r="H35" s="10"/>
      <c r="I35" s="10"/>
      <c r="J35" s="10"/>
      <c r="K35" s="12">
        <v>-63.533333333333339</v>
      </c>
      <c r="L35" s="12">
        <v>-65.191666666666663</v>
      </c>
      <c r="M35" s="10"/>
      <c r="N35" s="10"/>
      <c r="O35" s="10"/>
      <c r="P35" s="10"/>
      <c r="Q35" s="10"/>
      <c r="R35" s="10"/>
      <c r="S35" s="10"/>
      <c r="T35" s="10"/>
      <c r="U35" s="9">
        <v>1.7000000000000015</v>
      </c>
      <c r="V35" s="6">
        <f t="shared" ref="V35:V45" si="9">(MAX(D35:U35)-MIN(D35:U35))</f>
        <v>66.891666666666666</v>
      </c>
    </row>
    <row r="36" spans="1:23" x14ac:dyDescent="0.2">
      <c r="A36" t="s">
        <v>93</v>
      </c>
      <c r="B36" t="s">
        <v>17</v>
      </c>
      <c r="C36">
        <v>1</v>
      </c>
      <c r="D36">
        <v>0</v>
      </c>
      <c r="G36">
        <f>[1]Martha_cm!O81-[1]Martha_cm!R81</f>
        <v>2.5</v>
      </c>
      <c r="K36" s="6">
        <f>[1]Martha_cm!O81-[1]Martha_cm!V81</f>
        <v>-9.9999999999994316E-2</v>
      </c>
      <c r="L36" s="6">
        <f>[1]Martha_cm!O81-[1]Martha_cm!W81</f>
        <v>0.60000000000000853</v>
      </c>
      <c r="U36">
        <f>[1]Martha_cm!O81-[1]Martha_cm!AF81</f>
        <v>1</v>
      </c>
      <c r="V36" s="6">
        <f t="shared" si="9"/>
        <v>2.5999999999999943</v>
      </c>
    </row>
    <row r="37" spans="1:23" x14ac:dyDescent="0.2">
      <c r="A37" t="s">
        <v>93</v>
      </c>
      <c r="B37" t="s">
        <v>17</v>
      </c>
      <c r="C37">
        <v>2</v>
      </c>
      <c r="D37">
        <v>0</v>
      </c>
      <c r="G37">
        <f>[1]Martha_cm!O82-[1]Martha_cm!R82</f>
        <v>0.69999999999998863</v>
      </c>
      <c r="K37" s="6">
        <f>[1]Martha_cm!O82-[1]Martha_cm!V82</f>
        <v>-3.2000000000000028</v>
      </c>
      <c r="L37" s="6">
        <f>[1]Martha_cm!O82-[1]Martha_cm!W82</f>
        <v>-1.7000000000000028</v>
      </c>
      <c r="U37">
        <f>[1]Martha_cm!O82-[1]Martha_cm!AF82</f>
        <v>-4.9000000000000057</v>
      </c>
      <c r="V37" s="6">
        <f t="shared" si="9"/>
        <v>5.5999999999999943</v>
      </c>
    </row>
    <row r="38" spans="1:23" x14ac:dyDescent="0.2">
      <c r="A38" t="s">
        <v>93</v>
      </c>
      <c r="B38" t="s">
        <v>17</v>
      </c>
      <c r="C38">
        <v>3</v>
      </c>
      <c r="D38">
        <v>0</v>
      </c>
      <c r="G38">
        <f>[1]Martha_cm!O83-[1]Martha_cm!R83</f>
        <v>1</v>
      </c>
      <c r="K38" s="5">
        <f>[1]Martha_cm!O83-[1]Martha_cm!V83</f>
        <v>-4.3000000000000114</v>
      </c>
      <c r="L38" s="5">
        <f>[1]Martha_cm!O83-[1]Martha_cm!W83</f>
        <v>-2.0499999999999972</v>
      </c>
      <c r="U38" s="4">
        <f>[1]Martha_cm!O83-[1]Martha_cm!AF83</f>
        <v>1.3999999999999915</v>
      </c>
      <c r="V38" s="6">
        <f t="shared" si="9"/>
        <v>5.7000000000000028</v>
      </c>
      <c r="W38" t="s">
        <v>18</v>
      </c>
    </row>
    <row r="39" spans="1:23" x14ac:dyDescent="0.2">
      <c r="A39" t="s">
        <v>93</v>
      </c>
      <c r="B39" t="s">
        <v>17</v>
      </c>
      <c r="C39">
        <v>4</v>
      </c>
      <c r="D39">
        <v>0</v>
      </c>
      <c r="G39" s="4">
        <f>[1]Martha_cm!O84-[1]Martha_cm!R84</f>
        <v>5.7000000000000028</v>
      </c>
      <c r="K39" s="6">
        <f>[1]Martha_cm!O84-[1]Martha_cm!V84</f>
        <v>-1.7000000000000028</v>
      </c>
      <c r="L39" s="6">
        <f>[1]Martha_cm!O84-[1]Martha_cm!W84</f>
        <v>-1.1499999999999915</v>
      </c>
      <c r="U39">
        <f>[1]Martha_cm!O84-[1]Martha_cm!AF84</f>
        <v>0.99999999999998579</v>
      </c>
      <c r="V39" s="6">
        <f t="shared" si="9"/>
        <v>7.4000000000000057</v>
      </c>
    </row>
    <row r="40" spans="1:23" x14ac:dyDescent="0.2">
      <c r="A40" t="s">
        <v>93</v>
      </c>
      <c r="B40" t="s">
        <v>17</v>
      </c>
      <c r="C40">
        <v>8</v>
      </c>
      <c r="D40">
        <v>0</v>
      </c>
      <c r="G40">
        <f>[1]Martha_cm!O88-[1]Martha_cm!R88</f>
        <v>1.2000000000000028</v>
      </c>
      <c r="K40" s="6">
        <f>[1]Martha_cm!O88-[1]Martha_cm!V88</f>
        <v>-2.0999999999999943</v>
      </c>
      <c r="L40" s="5">
        <f>[1]Martha_cm!O88-[1]Martha_cm!W88</f>
        <v>-2.5999999999999943</v>
      </c>
      <c r="U40" s="4">
        <f>[1]Martha_cm!O88-[1]Martha_cm!AF88</f>
        <v>2.4000000000000057</v>
      </c>
      <c r="V40" s="6">
        <f t="shared" si="9"/>
        <v>5</v>
      </c>
      <c r="W40" t="s">
        <v>11</v>
      </c>
    </row>
    <row r="41" spans="1:23" x14ac:dyDescent="0.2">
      <c r="A41" t="s">
        <v>93</v>
      </c>
      <c r="B41" t="s">
        <v>17</v>
      </c>
      <c r="C41">
        <v>9</v>
      </c>
      <c r="D41">
        <v>0</v>
      </c>
      <c r="G41">
        <f>[1]Martha_cm!O89-[1]Martha_cm!R89</f>
        <v>9.9999999999980105E-2</v>
      </c>
      <c r="K41" s="6">
        <f>[1]Martha_cm!O89-[1]Martha_cm!V89</f>
        <v>-0.20000000000001705</v>
      </c>
      <c r="L41" s="6">
        <f>[1]Martha_cm!O89-[1]Martha_cm!W89</f>
        <v>-1.2500000000000142</v>
      </c>
      <c r="U41">
        <f>[1]Martha_cm!O89-[1]Martha_cm!AF89</f>
        <v>-2.9000000000000057</v>
      </c>
      <c r="V41" s="6">
        <f t="shared" si="9"/>
        <v>2.9999999999999858</v>
      </c>
    </row>
    <row r="42" spans="1:23" x14ac:dyDescent="0.2">
      <c r="A42" t="s">
        <v>93</v>
      </c>
      <c r="B42" t="s">
        <v>17</v>
      </c>
      <c r="C42">
        <v>12</v>
      </c>
      <c r="D42">
        <v>0</v>
      </c>
      <c r="G42">
        <f>[1]Martha_cm!O92-[1]Martha_cm!R92</f>
        <v>-2</v>
      </c>
      <c r="K42" s="5">
        <f>[1]Martha_cm!O92-[1]Martha_cm!V92</f>
        <v>-1.2000000000000028</v>
      </c>
      <c r="L42" s="5">
        <f>[1]Martha_cm!O92-[1]Martha_cm!W92</f>
        <v>-1.5</v>
      </c>
      <c r="U42" s="4">
        <f>[1]Martha_cm!O92-[1]Martha_cm!AF92</f>
        <v>2.5</v>
      </c>
      <c r="V42" s="6">
        <f t="shared" si="9"/>
        <v>4.5</v>
      </c>
      <c r="W42" t="s">
        <v>18</v>
      </c>
    </row>
    <row r="43" spans="1:23" x14ac:dyDescent="0.2">
      <c r="A43" t="s">
        <v>93</v>
      </c>
      <c r="B43" t="s">
        <v>17</v>
      </c>
      <c r="C43">
        <v>14</v>
      </c>
      <c r="D43">
        <v>0</v>
      </c>
      <c r="G43">
        <f>[1]Martha_cm!O94-[1]Martha_cm!R94</f>
        <v>-1.0999999999999943</v>
      </c>
      <c r="K43" s="6">
        <f>[1]Martha_cm!O94-[1]Martha_cm!V94</f>
        <v>9.9999999999994316E-2</v>
      </c>
      <c r="L43" s="6">
        <f>[1]Martha_cm!O94-[1]Martha_cm!W94</f>
        <v>-1.3499999999999943</v>
      </c>
      <c r="U43">
        <f>[1]Martha_cm!O94-[1]Martha_cm!AF94</f>
        <v>2.7999999999999972</v>
      </c>
      <c r="V43" s="6">
        <f t="shared" si="9"/>
        <v>4.1499999999999915</v>
      </c>
    </row>
    <row r="44" spans="1:23" x14ac:dyDescent="0.2">
      <c r="A44" t="s">
        <v>93</v>
      </c>
      <c r="B44" t="s">
        <v>17</v>
      </c>
      <c r="C44">
        <v>15</v>
      </c>
      <c r="D44">
        <v>0</v>
      </c>
      <c r="G44">
        <f>[1]Martha_cm!O95-[1]Martha_cm!R95</f>
        <v>0.80000000000000426</v>
      </c>
      <c r="K44" s="6">
        <f>[1]Martha_cm!O95-[1]Martha_cm!V95</f>
        <v>-1.8999999999999986</v>
      </c>
      <c r="L44" s="6">
        <f>[1]Martha_cm!O95-[1]Martha_cm!W95</f>
        <v>-2.3999999999999986</v>
      </c>
      <c r="U44">
        <f>[1]Martha_cm!O95-[1]Martha_cm!AF95</f>
        <v>2.0000000000000071</v>
      </c>
      <c r="V44" s="6">
        <f t="shared" si="9"/>
        <v>4.4000000000000057</v>
      </c>
    </row>
    <row r="45" spans="1:23" x14ac:dyDescent="0.2">
      <c r="A45" t="s">
        <v>93</v>
      </c>
      <c r="B45" t="s">
        <v>17</v>
      </c>
      <c r="C45">
        <v>16</v>
      </c>
      <c r="D45">
        <v>0</v>
      </c>
      <c r="G45">
        <f>[1]Martha_cm!O96-[1]Martha_cm!R96</f>
        <v>1.2999999999999972</v>
      </c>
      <c r="K45" s="6">
        <f>[1]Martha_cm!O96-[1]Martha_cm!V96</f>
        <v>-1.2999999999999972</v>
      </c>
      <c r="L45" s="6">
        <f>[1]Martha_cm!O96-[1]Martha_cm!W96</f>
        <v>-2.1500000000000057</v>
      </c>
      <c r="U45">
        <f>[1]Martha_cm!O96-[1]Martha_cm!AF96</f>
        <v>-3.4000000000000057</v>
      </c>
      <c r="V45" s="6">
        <f t="shared" si="9"/>
        <v>4.7000000000000028</v>
      </c>
    </row>
    <row r="46" spans="1:23" s="1" customFormat="1" x14ac:dyDescent="0.2">
      <c r="A46" t="s">
        <v>93</v>
      </c>
      <c r="B46" s="1" t="s">
        <v>17</v>
      </c>
      <c r="C46" s="1" t="s">
        <v>44</v>
      </c>
      <c r="D46" s="1">
        <v>0</v>
      </c>
      <c r="G46" s="1">
        <f>AVERAGE(G36:G45)</f>
        <v>1.0199999999999982</v>
      </c>
      <c r="K46" s="1">
        <f t="shared" ref="K46:V46" si="10">AVERAGE(K36:K45)</f>
        <v>-1.5900000000000027</v>
      </c>
      <c r="L46" s="1">
        <f t="shared" si="10"/>
        <v>-1.554999999999999</v>
      </c>
      <c r="U46" s="1">
        <f t="shared" si="10"/>
        <v>0.189999999999997</v>
      </c>
      <c r="V46" s="1">
        <f t="shared" si="10"/>
        <v>4.7049999999999983</v>
      </c>
    </row>
    <row r="47" spans="1:23" x14ac:dyDescent="0.2">
      <c r="A47" t="s">
        <v>93</v>
      </c>
      <c r="B47" t="s">
        <v>17</v>
      </c>
      <c r="C47" s="9" t="s">
        <v>45</v>
      </c>
      <c r="D47" s="9"/>
      <c r="E47" s="9"/>
      <c r="F47" s="9"/>
      <c r="G47" s="9">
        <v>-3.166666666666667</v>
      </c>
      <c r="H47" s="9"/>
      <c r="I47" s="9"/>
      <c r="J47" s="9"/>
      <c r="K47" s="11">
        <v>-99.866666666666703</v>
      </c>
      <c r="L47" s="12">
        <v>-78.883333333333354</v>
      </c>
      <c r="M47" s="9"/>
      <c r="N47" s="9"/>
      <c r="O47" s="9"/>
      <c r="P47" s="9"/>
      <c r="Q47" s="9"/>
      <c r="R47" s="9"/>
      <c r="S47" s="9"/>
      <c r="T47" s="9"/>
      <c r="U47" s="9">
        <v>0.89999999999999714</v>
      </c>
      <c r="V47" s="6">
        <f>(MAX(D47:U47)-MIN(D47:U47))</f>
        <v>100.76666666666669</v>
      </c>
      <c r="W47" t="s">
        <v>19</v>
      </c>
    </row>
    <row r="48" spans="1:23" x14ac:dyDescent="0.2">
      <c r="A48" t="s">
        <v>93</v>
      </c>
      <c r="B48" t="s">
        <v>20</v>
      </c>
      <c r="C48">
        <v>11</v>
      </c>
      <c r="D48">
        <v>0</v>
      </c>
      <c r="G48">
        <f>[1]Martha_cm!O108-[1]Martha_cm!R108</f>
        <v>1.2999999999999972</v>
      </c>
      <c r="K48" s="6">
        <f>[1]Martha_cm!O108-[1]Martha_cm!V108</f>
        <v>-0.29999999999999716</v>
      </c>
      <c r="L48" s="6">
        <f>[1]Martha_cm!O108-[1]Martha_cm!W108</f>
        <v>0.20000000000000284</v>
      </c>
      <c r="U48">
        <f>[1]Martha_cm!O108-[1]Martha_cm!AF108</f>
        <v>1</v>
      </c>
      <c r="V48" s="6">
        <f>(MAX(D48:U48)-MIN(D48:U48))</f>
        <v>1.5999999999999943</v>
      </c>
    </row>
    <row r="49" spans="1:23" x14ac:dyDescent="0.2">
      <c r="A49" t="s">
        <v>93</v>
      </c>
      <c r="B49" t="s">
        <v>20</v>
      </c>
      <c r="C49">
        <v>12</v>
      </c>
      <c r="D49">
        <v>0</v>
      </c>
      <c r="G49">
        <f>[1]Martha_cm!O109-[1]Martha_cm!R109</f>
        <v>0.69999999999998863</v>
      </c>
      <c r="K49" s="6">
        <f>[1]Martha_cm!O109-[1]Martha_cm!V109</f>
        <v>-0.30000000000001137</v>
      </c>
      <c r="L49" s="6">
        <f>[1]Martha_cm!O109-[1]Martha_cm!W109</f>
        <v>0</v>
      </c>
      <c r="U49">
        <f>[1]Martha_cm!O109-[1]Martha_cm!AF109</f>
        <v>-0.40000000000000568</v>
      </c>
      <c r="V49" s="6">
        <f>(MAX(D49:U49)-MIN(D49:U49))</f>
        <v>1.0999999999999943</v>
      </c>
    </row>
    <row r="50" spans="1:23" x14ac:dyDescent="0.2">
      <c r="A50" t="s">
        <v>93</v>
      </c>
      <c r="B50" t="s">
        <v>20</v>
      </c>
      <c r="C50">
        <v>13</v>
      </c>
      <c r="D50">
        <v>0</v>
      </c>
      <c r="G50">
        <f>[1]Martha_cm!O110-[1]Martha_cm!R110</f>
        <v>-0.70000000000000284</v>
      </c>
      <c r="K50" s="5">
        <f>[1]Martha_cm!O110-[1]Martha_cm!V110</f>
        <v>-1.9000000000000057</v>
      </c>
      <c r="L50" s="5">
        <f>[1]Martha_cm!O110-[1]Martha_cm!W110</f>
        <v>-1.8500000000000085</v>
      </c>
      <c r="U50" s="4">
        <f>[1]Martha_cm!O110-[1]Martha_cm!AF110</f>
        <v>-1.2999999999999972</v>
      </c>
      <c r="V50" s="6">
        <f>(MAX(D50:U50)-MIN(D50:U50))</f>
        <v>1.9000000000000057</v>
      </c>
      <c r="W50" t="s">
        <v>18</v>
      </c>
    </row>
    <row r="51" spans="1:23" x14ac:dyDescent="0.2">
      <c r="A51" t="s">
        <v>93</v>
      </c>
      <c r="B51" t="s">
        <v>20</v>
      </c>
      <c r="C51">
        <v>15</v>
      </c>
      <c r="D51">
        <v>0</v>
      </c>
      <c r="G51">
        <f>[1]Martha_cm!O112-[1]Martha_cm!R112</f>
        <v>-0.40000000000000568</v>
      </c>
      <c r="K51" s="6">
        <f>[1]Martha_cm!O112-[1]Martha_cm!V112</f>
        <v>-1.5999999999999943</v>
      </c>
      <c r="L51" s="6">
        <f>[1]Martha_cm!O112-[1]Martha_cm!W112</f>
        <v>-1</v>
      </c>
      <c r="U51">
        <f>[1]Martha_cm!O112-[1]Martha_cm!AF112</f>
        <v>-1.5999999999999943</v>
      </c>
      <c r="V51" s="6">
        <f>(MAX(D51:U51)-MIN(D51:U51))</f>
        <v>1.5999999999999943</v>
      </c>
    </row>
    <row r="52" spans="1:23" s="1" customFormat="1" x14ac:dyDescent="0.2">
      <c r="A52" t="s">
        <v>93</v>
      </c>
      <c r="B52" s="1" t="s">
        <v>20</v>
      </c>
      <c r="C52" s="1" t="s">
        <v>44</v>
      </c>
      <c r="D52" s="1">
        <v>0</v>
      </c>
      <c r="G52" s="1">
        <f>AVERAGE(G48:G51)</f>
        <v>0.22499999999999432</v>
      </c>
      <c r="K52" s="1">
        <f t="shared" ref="K52:V52" si="11">AVERAGE(K48:K51)</f>
        <v>-1.0250000000000021</v>
      </c>
      <c r="L52" s="1">
        <f t="shared" si="11"/>
        <v>-0.66250000000000142</v>
      </c>
      <c r="U52" s="1">
        <f t="shared" si="11"/>
        <v>-0.57499999999999929</v>
      </c>
      <c r="V52" s="1">
        <f t="shared" si="11"/>
        <v>1.5499999999999972</v>
      </c>
    </row>
    <row r="53" spans="1:23" x14ac:dyDescent="0.2">
      <c r="A53" t="s">
        <v>93</v>
      </c>
      <c r="B53" t="s">
        <v>20</v>
      </c>
      <c r="C53" s="9" t="s">
        <v>45</v>
      </c>
      <c r="D53" s="9"/>
      <c r="E53" s="9"/>
      <c r="F53" s="9"/>
      <c r="G53" s="9">
        <v>-9.8000000000000007</v>
      </c>
      <c r="H53" s="9"/>
      <c r="I53" s="9"/>
      <c r="J53" s="9"/>
      <c r="K53" s="12">
        <v>-75.2</v>
      </c>
      <c r="L53" s="12">
        <v>-71.399999999999991</v>
      </c>
      <c r="M53" s="9"/>
      <c r="N53" s="9"/>
      <c r="O53" s="9"/>
      <c r="P53" s="9"/>
      <c r="Q53" s="9"/>
      <c r="R53" s="9"/>
      <c r="S53" s="9"/>
      <c r="T53" s="9"/>
      <c r="U53" s="9">
        <v>-10.899999999999999</v>
      </c>
      <c r="V53" s="6">
        <f>(MAX(D53:U53)-MIN(D53:U53))</f>
        <v>65.400000000000006</v>
      </c>
    </row>
    <row r="54" spans="1:23" x14ac:dyDescent="0.2">
      <c r="A54" t="s">
        <v>94</v>
      </c>
      <c r="B54" t="s">
        <v>21</v>
      </c>
      <c r="C54">
        <v>9</v>
      </c>
      <c r="D54">
        <v>0</v>
      </c>
      <c r="G54">
        <f>[1]Martha_cm!O175-[1]Martha_cm!R175</f>
        <v>-0.90000000000000568</v>
      </c>
      <c r="K54" s="6">
        <f>[1]Martha_cm!O175-[1]Martha_cm!V175</f>
        <v>-1.8999999999999986</v>
      </c>
      <c r="L54" s="6">
        <f>[1]Martha_cm!O175-[1]Martha_cm!W175</f>
        <v>-1.8999999999999986</v>
      </c>
      <c r="U54">
        <f>[1]Martha_cm!O175-[1]Martha_cm!AF175</f>
        <v>-0.5</v>
      </c>
      <c r="V54" s="6">
        <f>(MAX(D54:U54)-MIN(D54:U54))</f>
        <v>1.8999999999999986</v>
      </c>
    </row>
    <row r="55" spans="1:23" s="1" customFormat="1" x14ac:dyDescent="0.2">
      <c r="A55" t="s">
        <v>94</v>
      </c>
      <c r="B55" s="1" t="s">
        <v>21</v>
      </c>
      <c r="C55" s="1" t="s">
        <v>44</v>
      </c>
      <c r="D55" s="1">
        <v>0</v>
      </c>
      <c r="G55" s="1">
        <v>-0.90000000000000568</v>
      </c>
      <c r="K55" s="7">
        <v>-1.8999999999999986</v>
      </c>
      <c r="L55" s="7">
        <v>-1.8999999999999986</v>
      </c>
      <c r="U55" s="1">
        <v>-0.5</v>
      </c>
      <c r="V55" s="7">
        <f>AVERAGE(V54)</f>
        <v>1.8999999999999986</v>
      </c>
    </row>
    <row r="56" spans="1:23" x14ac:dyDescent="0.2">
      <c r="A56" t="s">
        <v>94</v>
      </c>
      <c r="B56" t="s">
        <v>21</v>
      </c>
      <c r="C56" s="9" t="s">
        <v>45</v>
      </c>
      <c r="D56" s="9"/>
      <c r="E56" s="9"/>
      <c r="F56" s="9"/>
      <c r="G56" s="9">
        <v>10.499999999999998</v>
      </c>
      <c r="H56" s="9"/>
      <c r="I56" s="9"/>
      <c r="J56" s="9"/>
      <c r="K56" s="12">
        <v>-113.99999999999999</v>
      </c>
      <c r="L56" s="12">
        <v>0.30000000000000027</v>
      </c>
      <c r="M56" s="9"/>
      <c r="N56" s="9"/>
      <c r="O56" s="9"/>
      <c r="P56" s="9"/>
      <c r="Q56" s="9"/>
      <c r="R56" s="9"/>
      <c r="S56" s="9"/>
      <c r="T56" s="9"/>
      <c r="U56" s="9">
        <v>8</v>
      </c>
      <c r="V56" s="6">
        <f t="shared" ref="V56:V64" si="12">(MAX(D56:U56)-MIN(D56:U56))</f>
        <v>124.49999999999999</v>
      </c>
    </row>
    <row r="57" spans="1:23" x14ac:dyDescent="0.2">
      <c r="A57" t="s">
        <v>94</v>
      </c>
      <c r="B57" t="s">
        <v>22</v>
      </c>
      <c r="C57">
        <v>1</v>
      </c>
      <c r="D57">
        <v>0</v>
      </c>
      <c r="G57">
        <f>[1]Martha_cm!O184-[1]Martha_cm!R184</f>
        <v>0.10000000000000142</v>
      </c>
      <c r="K57" s="6">
        <f>[1]Martha_cm!O184-[1]Martha_cm!V184</f>
        <v>-2.0000000000000071</v>
      </c>
      <c r="L57" s="6">
        <f>[1]Martha_cm!O184-[1]Martha_cm!W184</f>
        <v>-1.2499999999999929</v>
      </c>
      <c r="U57">
        <f>[1]Martha_cm!O184-[1]Martha_cm!AF184</f>
        <v>-1.8999999999999986</v>
      </c>
      <c r="V57" s="6">
        <f t="shared" si="12"/>
        <v>2.1000000000000085</v>
      </c>
    </row>
    <row r="58" spans="1:23" x14ac:dyDescent="0.2">
      <c r="A58" t="s">
        <v>94</v>
      </c>
      <c r="B58" t="s">
        <v>22</v>
      </c>
      <c r="C58">
        <v>2</v>
      </c>
      <c r="D58">
        <v>0</v>
      </c>
      <c r="G58">
        <f>[1]Martha_cm!O185-[1]Martha_cm!R185</f>
        <v>-0.49999999999999289</v>
      </c>
      <c r="K58" s="5">
        <f>[1]Martha_cm!O185-[1]Martha_cm!V185</f>
        <v>-4.5999999999999943</v>
      </c>
      <c r="L58" s="5">
        <f>[1]Martha_cm!O185-[1]Martha_cm!W185</f>
        <v>-3.4499999999999886</v>
      </c>
      <c r="U58" s="4">
        <f>[1]Martha_cm!O185-[1]Martha_cm!AF185</f>
        <v>-7.5999999999999872</v>
      </c>
      <c r="V58" s="6">
        <f t="shared" si="12"/>
        <v>7.5999999999999872</v>
      </c>
      <c r="W58" t="s">
        <v>23</v>
      </c>
    </row>
    <row r="59" spans="1:23" x14ac:dyDescent="0.2">
      <c r="A59" t="s">
        <v>94</v>
      </c>
      <c r="B59" t="s">
        <v>22</v>
      </c>
      <c r="C59">
        <v>6</v>
      </c>
      <c r="D59">
        <v>0</v>
      </c>
      <c r="G59">
        <f>[1]Martha_cm!O189-[1]Martha_cm!R189</f>
        <v>1.9000000000000057</v>
      </c>
      <c r="K59" s="6">
        <f>[1]Martha_cm!O189-[1]Martha_cm!V189</f>
        <v>-1.7999999999999829</v>
      </c>
      <c r="L59" s="6">
        <f>[1]Martha_cm!O189-[1]Martha_cm!W189</f>
        <v>-0.59999999999999432</v>
      </c>
      <c r="U59">
        <f>[1]Martha_cm!O189-[1]Martha_cm!AF189</f>
        <v>-3.8999999999999915</v>
      </c>
      <c r="V59" s="6">
        <f t="shared" si="12"/>
        <v>5.7999999999999972</v>
      </c>
    </row>
    <row r="60" spans="1:23" x14ac:dyDescent="0.2">
      <c r="A60" t="s">
        <v>94</v>
      </c>
      <c r="B60" t="s">
        <v>22</v>
      </c>
      <c r="C60">
        <v>8</v>
      </c>
      <c r="D60">
        <v>0</v>
      </c>
      <c r="G60">
        <f>[1]Martha_cm!O191-[1]Martha_cm!R191</f>
        <v>2.3999999999999915</v>
      </c>
      <c r="K60" s="6">
        <f>[1]Martha_cm!O191-[1]Martha_cm!V191</f>
        <v>3.7999999999999829</v>
      </c>
      <c r="L60" s="6">
        <f>[1]Martha_cm!O191-[1]Martha_cm!W191</f>
        <v>5.3499999999999801</v>
      </c>
      <c r="U60" s="4">
        <f>[1]Martha_cm!O191-[1]Martha_cm!AF191</f>
        <v>-0.70000000000000284</v>
      </c>
      <c r="V60" s="6">
        <f t="shared" si="12"/>
        <v>6.0499999999999829</v>
      </c>
    </row>
    <row r="61" spans="1:23" x14ac:dyDescent="0.2">
      <c r="A61" t="s">
        <v>94</v>
      </c>
      <c r="B61" t="s">
        <v>22</v>
      </c>
      <c r="C61">
        <v>9</v>
      </c>
      <c r="D61">
        <v>0</v>
      </c>
      <c r="G61">
        <f>[1]Martha_cm!O192-[1]Martha_cm!R192</f>
        <v>-1.7999999999999972</v>
      </c>
      <c r="K61" s="6">
        <f>[1]Martha_cm!O192-[1]Martha_cm!V192</f>
        <v>-6.2000000000000028</v>
      </c>
      <c r="L61" s="6">
        <f>[1]Martha_cm!O192-[1]Martha_cm!W192</f>
        <v>-4.4000000000000057</v>
      </c>
      <c r="U61">
        <f>[1]Martha_cm!O192-[1]Martha_cm!AF192</f>
        <v>-5.7000000000000028</v>
      </c>
      <c r="V61" s="6">
        <f t="shared" si="12"/>
        <v>6.2000000000000028</v>
      </c>
    </row>
    <row r="62" spans="1:23" x14ac:dyDescent="0.2">
      <c r="A62" t="s">
        <v>94</v>
      </c>
      <c r="B62" t="s">
        <v>22</v>
      </c>
      <c r="C62">
        <v>10</v>
      </c>
      <c r="D62">
        <v>0</v>
      </c>
      <c r="G62">
        <f>[1]Martha_cm!O193-[1]Martha_cm!R193</f>
        <v>9.9999999999994316E-2</v>
      </c>
      <c r="K62" s="6">
        <f>[1]Martha_cm!O193-[1]Martha_cm!V193</f>
        <v>-1.7000000000000171</v>
      </c>
      <c r="L62" s="6">
        <f>[1]Martha_cm!O193-[1]Martha_cm!W193</f>
        <v>0.74999999999998579</v>
      </c>
      <c r="U62">
        <f>[1]Martha_cm!O193-[1]Martha_cm!AF193</f>
        <v>0.39999999999999147</v>
      </c>
      <c r="V62" s="6">
        <f t="shared" si="12"/>
        <v>2.4500000000000028</v>
      </c>
    </row>
    <row r="63" spans="1:23" x14ac:dyDescent="0.2">
      <c r="A63" t="s">
        <v>94</v>
      </c>
      <c r="B63" t="s">
        <v>22</v>
      </c>
      <c r="C63">
        <v>13</v>
      </c>
      <c r="D63">
        <v>0</v>
      </c>
      <c r="G63">
        <f>[1]Martha_cm!O196-[1]Martha_cm!R196</f>
        <v>-2.3999999999999915</v>
      </c>
      <c r="K63" s="6">
        <f>[1]Martha_cm!O196-[1]Martha_cm!V196</f>
        <v>-1.2000000000000028</v>
      </c>
      <c r="L63" s="6">
        <f>[1]Martha_cm!O196-[1]Martha_cm!W196</f>
        <v>-1.2000000000000028</v>
      </c>
      <c r="U63">
        <f>[1]Martha_cm!O196-[1]Martha_cm!AF196</f>
        <v>-0.60000000000000853</v>
      </c>
      <c r="V63" s="6">
        <f t="shared" si="12"/>
        <v>2.3999999999999915</v>
      </c>
    </row>
    <row r="64" spans="1:23" x14ac:dyDescent="0.2">
      <c r="A64" t="s">
        <v>94</v>
      </c>
      <c r="B64" t="s">
        <v>22</v>
      </c>
      <c r="C64">
        <v>15</v>
      </c>
      <c r="D64">
        <v>0</v>
      </c>
      <c r="G64">
        <f>[1]Martha_cm!O198-[1]Martha_cm!R198</f>
        <v>2.3000000000000043</v>
      </c>
      <c r="K64" s="6">
        <f>[1]Martha_cm!O198-[1]Martha_cm!V198</f>
        <v>-0.89999999999999147</v>
      </c>
      <c r="L64" s="6">
        <f>[1]Martha_cm!O198-[1]Martha_cm!W198</f>
        <v>-0.54999999999998295</v>
      </c>
      <c r="U64">
        <f>[1]Martha_cm!O198-[1]Martha_cm!AF198</f>
        <v>3.5000000000000071</v>
      </c>
      <c r="V64" s="6">
        <f t="shared" si="12"/>
        <v>4.3999999999999986</v>
      </c>
    </row>
    <row r="65" spans="1:23" s="1" customFormat="1" x14ac:dyDescent="0.2">
      <c r="A65" t="s">
        <v>94</v>
      </c>
      <c r="B65" s="1" t="s">
        <v>22</v>
      </c>
      <c r="C65" s="1" t="s">
        <v>44</v>
      </c>
      <c r="D65" s="1">
        <v>0</v>
      </c>
      <c r="G65" s="1">
        <f>AVERAGE(G57:G64)</f>
        <v>0.26250000000000195</v>
      </c>
      <c r="K65" s="1">
        <f t="shared" ref="K65:V65" si="13">AVERAGE(K57:K64)</f>
        <v>-1.825000000000002</v>
      </c>
      <c r="L65" s="1">
        <f t="shared" si="13"/>
        <v>-0.66875000000000018</v>
      </c>
      <c r="U65" s="1">
        <f t="shared" si="13"/>
        <v>-2.0624999999999991</v>
      </c>
      <c r="V65" s="1">
        <f t="shared" si="13"/>
        <v>4.6249999999999964</v>
      </c>
    </row>
    <row r="66" spans="1:23" x14ac:dyDescent="0.2">
      <c r="A66" t="s">
        <v>94</v>
      </c>
      <c r="B66" t="s">
        <v>22</v>
      </c>
      <c r="C66" s="9" t="s">
        <v>45</v>
      </c>
      <c r="D66" s="9"/>
      <c r="E66" s="9"/>
      <c r="F66" s="9"/>
      <c r="G66" s="9"/>
      <c r="H66" s="9"/>
      <c r="I66" s="9"/>
      <c r="J66" s="9"/>
      <c r="K66" s="12">
        <v>-17.699999999999992</v>
      </c>
      <c r="L66" s="12">
        <v>-2.4499999999999966</v>
      </c>
      <c r="M66" s="9"/>
      <c r="N66" s="9"/>
      <c r="O66" s="9"/>
      <c r="P66" s="9"/>
      <c r="Q66" s="9"/>
      <c r="R66" s="9"/>
      <c r="S66" s="9"/>
      <c r="T66" s="9"/>
      <c r="U66" s="9">
        <v>3</v>
      </c>
      <c r="V66" s="7">
        <f>(MAX(D66:U66)-MIN(D66:U66))</f>
        <v>20.699999999999992</v>
      </c>
    </row>
    <row r="67" spans="1:23" x14ac:dyDescent="0.2">
      <c r="A67" t="s">
        <v>95</v>
      </c>
      <c r="B67" t="s">
        <v>24</v>
      </c>
      <c r="C67">
        <v>6</v>
      </c>
      <c r="D67" s="13">
        <v>0</v>
      </c>
      <c r="G67">
        <f>[1]Martha_cm!O206-[1]Martha_cm!R206</f>
        <v>6.9000000000000057</v>
      </c>
      <c r="K67" s="6">
        <f>[1]Martha_cm!O206-[1]Martha_cm!V206</f>
        <v>6.9500000000000028</v>
      </c>
      <c r="L67" s="6">
        <f>[1]Martha_cm!O206-[1]Martha_cm!W206</f>
        <v>7.5000000000000142</v>
      </c>
      <c r="U67">
        <f>[1]Martha_cm!O206-[1]Martha_cm!AF206</f>
        <v>10.100000000000009</v>
      </c>
      <c r="V67" s="6">
        <f>(MAX(D67:U67)-MIN(D67:U67))</f>
        <v>10.100000000000009</v>
      </c>
    </row>
    <row r="68" spans="1:23" x14ac:dyDescent="0.2">
      <c r="A68" t="s">
        <v>95</v>
      </c>
      <c r="B68" t="s">
        <v>24</v>
      </c>
      <c r="C68">
        <v>8</v>
      </c>
      <c r="D68" s="13">
        <v>0</v>
      </c>
      <c r="G68">
        <f>[1]Martha_cm!O208-[1]Martha_cm!R208</f>
        <v>8.5</v>
      </c>
      <c r="K68" s="6">
        <f>[1]Martha_cm!O208-[1]Martha_cm!V208</f>
        <v>8.7000000000000028</v>
      </c>
      <c r="L68" s="6">
        <f>[1]Martha_cm!O208-[1]Martha_cm!W208</f>
        <v>8.7999999999999972</v>
      </c>
      <c r="U68">
        <f>[1]Martha_cm!O208-[1]Martha_cm!AF208</f>
        <v>10.599999999999994</v>
      </c>
      <c r="V68" s="6">
        <f>(MAX(D68:U68)-MIN(D68:U68))</f>
        <v>10.599999999999994</v>
      </c>
    </row>
    <row r="69" spans="1:23" x14ac:dyDescent="0.2">
      <c r="A69" t="s">
        <v>95</v>
      </c>
      <c r="B69" t="s">
        <v>24</v>
      </c>
      <c r="C69">
        <v>11</v>
      </c>
      <c r="D69" s="13">
        <v>0</v>
      </c>
      <c r="G69">
        <f>[1]Martha_cm!O211-[1]Martha_cm!R211</f>
        <v>7.0999999999999943</v>
      </c>
      <c r="K69" s="6">
        <f>[1]Martha_cm!O211-[1]Martha_cm!V211</f>
        <v>7.8499999999999943</v>
      </c>
      <c r="L69" s="6">
        <f>[1]Martha_cm!O211-[1]Martha_cm!W211</f>
        <v>7.5</v>
      </c>
      <c r="U69">
        <f>[1]Martha_cm!O211-[1]Martha_cm!AF211</f>
        <v>10.200000000000003</v>
      </c>
      <c r="V69" s="6">
        <f>(MAX(D69:U69)-MIN(D69:U69))</f>
        <v>10.200000000000003</v>
      </c>
    </row>
    <row r="70" spans="1:23" x14ac:dyDescent="0.2">
      <c r="A70" t="s">
        <v>95</v>
      </c>
      <c r="B70" t="s">
        <v>24</v>
      </c>
      <c r="C70">
        <v>13</v>
      </c>
      <c r="D70">
        <v>0</v>
      </c>
      <c r="G70">
        <f>[1]Martha_cm!O213-[1]Martha_cm!R213</f>
        <v>4.5999999999999943</v>
      </c>
      <c r="K70" s="6">
        <f>[1]Martha_cm!O213-[1]Martha_cm!V213</f>
        <v>4.6999999999999957</v>
      </c>
      <c r="L70" s="6">
        <f>[1]Martha_cm!O213-[1]Martha_cm!W213</f>
        <v>4.8999999999999986</v>
      </c>
      <c r="U70">
        <f>[1]Martha_cm!O213-[1]Martha_cm!AF213</f>
        <v>7.7999999999999972</v>
      </c>
      <c r="V70" s="6">
        <f>(MAX(D70:U70)-MIN(D70:U70))</f>
        <v>7.7999999999999972</v>
      </c>
    </row>
    <row r="71" spans="1:23" s="1" customFormat="1" x14ac:dyDescent="0.2">
      <c r="A71" t="s">
        <v>95</v>
      </c>
      <c r="B71" s="1" t="s">
        <v>24</v>
      </c>
      <c r="C71" s="1" t="s">
        <v>44</v>
      </c>
      <c r="D71" s="1">
        <v>0</v>
      </c>
      <c r="G71" s="1">
        <f>AVERAGE(G67:G70)</f>
        <v>6.7749999999999986</v>
      </c>
      <c r="K71" s="1">
        <f t="shared" ref="K71:V71" si="14">AVERAGE(K67:K70)</f>
        <v>7.0499999999999989</v>
      </c>
      <c r="L71" s="1">
        <f t="shared" si="14"/>
        <v>7.1750000000000025</v>
      </c>
      <c r="U71" s="1">
        <f t="shared" si="14"/>
        <v>9.6750000000000007</v>
      </c>
      <c r="V71" s="1">
        <f t="shared" si="14"/>
        <v>9.6750000000000007</v>
      </c>
    </row>
    <row r="72" spans="1:23" x14ac:dyDescent="0.2">
      <c r="A72" t="s">
        <v>95</v>
      </c>
      <c r="B72" t="s">
        <v>24</v>
      </c>
      <c r="C72" s="9" t="s">
        <v>45</v>
      </c>
      <c r="D72" s="9"/>
      <c r="E72" s="9"/>
      <c r="F72" s="9"/>
      <c r="G72" s="9">
        <v>-54</v>
      </c>
      <c r="H72" s="9"/>
      <c r="I72" s="9"/>
      <c r="J72" s="9"/>
      <c r="K72" s="12">
        <v>-63.749999999999993</v>
      </c>
      <c r="L72" s="12">
        <v>-65.199999999999989</v>
      </c>
      <c r="M72" s="9"/>
      <c r="N72" s="9"/>
      <c r="O72" s="9"/>
      <c r="P72" s="9"/>
      <c r="Q72" s="9"/>
      <c r="R72" s="9"/>
      <c r="S72" s="9"/>
      <c r="T72" s="9"/>
      <c r="U72" s="9">
        <v>-21.799999999999997</v>
      </c>
      <c r="V72" s="7">
        <f t="shared" ref="V72:V79" si="15">(MAX(D72:U72)-MIN(D72:U72))</f>
        <v>43.399999999999991</v>
      </c>
    </row>
    <row r="73" spans="1:23" x14ac:dyDescent="0.2">
      <c r="A73" t="s">
        <v>95</v>
      </c>
      <c r="B73" t="s">
        <v>25</v>
      </c>
      <c r="C73">
        <v>1</v>
      </c>
      <c r="D73" s="13">
        <v>0</v>
      </c>
      <c r="G73">
        <f>[1]Martha_cm!O218-[1]Martha_cm!R218</f>
        <v>6.4000000000000057</v>
      </c>
      <c r="K73" s="6">
        <f>[1]Martha_cm!O218-[1]Martha_cm!V218</f>
        <v>7.7000000000000028</v>
      </c>
      <c r="L73" s="6">
        <f>[1]Martha_cm!O218-[1]Martha_cm!W218</f>
        <v>7.7000000000000028</v>
      </c>
      <c r="U73">
        <f>[1]Martha_cm!O218-[1]Martha_cm!AF218</f>
        <v>10.599999999999994</v>
      </c>
      <c r="V73" s="6">
        <f t="shared" si="15"/>
        <v>10.599999999999994</v>
      </c>
      <c r="W73" s="1" t="s">
        <v>38</v>
      </c>
    </row>
    <row r="74" spans="1:23" x14ac:dyDescent="0.2">
      <c r="A74" t="s">
        <v>95</v>
      </c>
      <c r="B74" t="s">
        <v>25</v>
      </c>
      <c r="C74">
        <v>2</v>
      </c>
      <c r="D74" s="13">
        <v>0</v>
      </c>
      <c r="G74">
        <f>[1]Martha_cm!O219-[1]Martha_cm!R219</f>
        <v>8.2999999999999972</v>
      </c>
      <c r="K74" s="6">
        <f>[1]Martha_cm!O219-[1]Martha_cm!V219</f>
        <v>9.3999999999999986</v>
      </c>
      <c r="L74" s="6">
        <f>[1]Martha_cm!O219-[1]Martha_cm!W219</f>
        <v>9.3000000000000043</v>
      </c>
      <c r="U74">
        <f>[1]Martha_cm!O219-[1]Martha_cm!AF219</f>
        <v>13.100000000000009</v>
      </c>
      <c r="V74" s="6">
        <f t="shared" si="15"/>
        <v>13.100000000000009</v>
      </c>
    </row>
    <row r="75" spans="1:23" x14ac:dyDescent="0.2">
      <c r="A75" t="s">
        <v>95</v>
      </c>
      <c r="B75" t="s">
        <v>25</v>
      </c>
      <c r="C75">
        <v>9</v>
      </c>
      <c r="D75">
        <v>0</v>
      </c>
      <c r="G75">
        <f>[1]Martha_cm!O226-[1]Martha_cm!R226</f>
        <v>2.3999999999999915</v>
      </c>
      <c r="K75" s="5">
        <f>[1]Martha_cm!O226-[1]Martha_cm!V226</f>
        <v>3.75</v>
      </c>
      <c r="L75" s="5">
        <f>[1]Martha_cm!O226-[1]Martha_cm!W226</f>
        <v>5.7000000000000028</v>
      </c>
      <c r="U75" s="4">
        <f>[1]Martha_cm!O226-[1]Martha_cm!AF226</f>
        <v>5.5</v>
      </c>
      <c r="V75" s="6">
        <f t="shared" si="15"/>
        <v>5.7000000000000028</v>
      </c>
      <c r="W75" t="s">
        <v>18</v>
      </c>
    </row>
    <row r="76" spans="1:23" x14ac:dyDescent="0.2">
      <c r="A76" t="s">
        <v>95</v>
      </c>
      <c r="B76" t="s">
        <v>25</v>
      </c>
      <c r="C76">
        <v>11</v>
      </c>
      <c r="D76" s="13">
        <v>0</v>
      </c>
      <c r="G76">
        <f>[1]Martha_cm!O228-[1]Martha_cm!R228</f>
        <v>8.2000000000000099</v>
      </c>
      <c r="K76" s="6">
        <f>[1]Martha_cm!O228-[1]Martha_cm!V228</f>
        <v>8.3000000000000114</v>
      </c>
      <c r="L76" s="6">
        <f>[1]Martha_cm!O228-[1]Martha_cm!W228</f>
        <v>6.4000000000000128</v>
      </c>
      <c r="U76">
        <f>[1]Martha_cm!O228-[1]Martha_cm!AF228</f>
        <v>9.9000000000000057</v>
      </c>
      <c r="V76" s="6">
        <f t="shared" si="15"/>
        <v>9.9000000000000057</v>
      </c>
    </row>
    <row r="77" spans="1:23" x14ac:dyDescent="0.2">
      <c r="A77" t="s">
        <v>95</v>
      </c>
      <c r="B77" t="s">
        <v>25</v>
      </c>
      <c r="C77">
        <v>13</v>
      </c>
      <c r="D77" s="13">
        <v>0</v>
      </c>
      <c r="G77">
        <f>[1]Martha_cm!O230-[1]Martha_cm!R230</f>
        <v>5.8000000000000114</v>
      </c>
      <c r="K77" s="6">
        <f>[1]Martha_cm!O230-[1]Martha_cm!V230</f>
        <v>5.3500000000000085</v>
      </c>
      <c r="L77" s="6">
        <f>[1]Martha_cm!O230-[1]Martha_cm!W230</f>
        <v>5.4000000000000057</v>
      </c>
      <c r="U77">
        <f>[1]Martha_cm!O230-[1]Martha_cm!AF230</f>
        <v>8</v>
      </c>
      <c r="V77" s="6">
        <f t="shared" si="15"/>
        <v>8</v>
      </c>
    </row>
    <row r="78" spans="1:23" x14ac:dyDescent="0.2">
      <c r="A78" t="s">
        <v>95</v>
      </c>
      <c r="B78" t="s">
        <v>25</v>
      </c>
      <c r="C78">
        <v>15</v>
      </c>
      <c r="D78" s="13">
        <v>0</v>
      </c>
      <c r="G78">
        <f>[1]Martha_cm!O232-[1]Martha_cm!R232</f>
        <v>8.5999999999999872</v>
      </c>
      <c r="K78" s="5">
        <f>[1]Martha_cm!O232-[1]Martha_cm!V232</f>
        <v>8.0499999999999972</v>
      </c>
      <c r="L78" s="5">
        <f>[1]Martha_cm!O232-[1]Martha_cm!W232</f>
        <v>7.9999999999999929</v>
      </c>
      <c r="U78" s="4">
        <f>[1]Martha_cm!O232-[1]Martha_cm!AF232</f>
        <v>11.699999999999996</v>
      </c>
      <c r="V78" s="6">
        <f t="shared" si="15"/>
        <v>11.699999999999996</v>
      </c>
      <c r="W78" t="s">
        <v>18</v>
      </c>
    </row>
    <row r="79" spans="1:23" x14ac:dyDescent="0.2">
      <c r="A79" t="s">
        <v>95</v>
      </c>
      <c r="B79" t="s">
        <v>25</v>
      </c>
      <c r="C79">
        <v>16</v>
      </c>
      <c r="D79" s="13">
        <v>0</v>
      </c>
      <c r="G79">
        <f>[1]Martha_cm!O233-[1]Martha_cm!R233</f>
        <v>6.1999999999999886</v>
      </c>
      <c r="K79" s="6">
        <f>[1]Martha_cm!O233-[1]Martha_cm!V233</f>
        <v>6.9499999999999957</v>
      </c>
      <c r="L79" s="6">
        <f>[1]Martha_cm!O233-[1]Martha_cm!W233</f>
        <v>6.7999999999999901</v>
      </c>
      <c r="U79">
        <f>[1]Martha_cm!O233-[1]Martha_cm!AF233</f>
        <v>10.699999999999996</v>
      </c>
      <c r="V79" s="6">
        <f t="shared" si="15"/>
        <v>10.699999999999996</v>
      </c>
    </row>
    <row r="80" spans="1:23" s="1" customFormat="1" x14ac:dyDescent="0.2">
      <c r="A80" t="s">
        <v>95</v>
      </c>
      <c r="B80" s="1" t="s">
        <v>25</v>
      </c>
      <c r="C80" s="1" t="s">
        <v>44</v>
      </c>
      <c r="D80" s="1">
        <v>0</v>
      </c>
      <c r="G80" s="1">
        <f>AVERAGE(G73:G79)</f>
        <v>6.5571428571428561</v>
      </c>
      <c r="K80" s="1">
        <f t="shared" ref="K80:V80" si="16">AVERAGE(K73:K79)</f>
        <v>7.0714285714285738</v>
      </c>
      <c r="L80" s="1">
        <f t="shared" si="16"/>
        <v>7.0428571428571445</v>
      </c>
      <c r="U80" s="1">
        <f t="shared" si="16"/>
        <v>9.9285714285714288</v>
      </c>
      <c r="V80" s="1">
        <f t="shared" si="16"/>
        <v>9.9571428571428573</v>
      </c>
    </row>
    <row r="81" spans="1:23" x14ac:dyDescent="0.2">
      <c r="A81" t="s">
        <v>95</v>
      </c>
      <c r="B81" t="s">
        <v>25</v>
      </c>
      <c r="C81" s="9" t="s">
        <v>45</v>
      </c>
      <c r="D81" s="9"/>
      <c r="E81" s="9"/>
      <c r="F81" s="9"/>
      <c r="G81" s="9">
        <v>-55.1</v>
      </c>
      <c r="H81" s="9"/>
      <c r="I81" s="9"/>
      <c r="J81" s="9"/>
      <c r="K81" s="12">
        <v>-78.900000000000006</v>
      </c>
      <c r="L81" s="12">
        <v>-57.9</v>
      </c>
      <c r="M81" s="9"/>
      <c r="N81" s="9"/>
      <c r="O81" s="9"/>
      <c r="P81" s="9"/>
      <c r="Q81" s="9"/>
      <c r="R81" s="9"/>
      <c r="S81" s="9"/>
      <c r="T81" s="9"/>
      <c r="U81" s="9">
        <v>-21.999999999999996</v>
      </c>
      <c r="V81" s="7">
        <f t="shared" ref="V81:V87" si="17">(MAX(D81:U81)-MIN(D81:U81))</f>
        <v>56.900000000000006</v>
      </c>
    </row>
    <row r="82" spans="1:23" x14ac:dyDescent="0.2">
      <c r="A82" t="s">
        <v>95</v>
      </c>
      <c r="B82" t="s">
        <v>26</v>
      </c>
      <c r="C82">
        <v>2</v>
      </c>
      <c r="D82" s="13">
        <v>0</v>
      </c>
      <c r="G82">
        <f>[1]Martha_cm!O236-[1]Martha_cm!R236</f>
        <v>8.8999999999999986</v>
      </c>
      <c r="K82" s="6">
        <f>[1]Martha_cm!O236-[1]Martha_cm!V236</f>
        <v>8.7999999999999972</v>
      </c>
      <c r="L82" s="6">
        <f>[1]Martha_cm!O236-[1]Martha_cm!W236</f>
        <v>8.6999999999999957</v>
      </c>
      <c r="U82">
        <f>[1]Martha_cm!O236-[1]Martha_cm!AF236</f>
        <v>12.299999999999997</v>
      </c>
      <c r="V82" s="6">
        <f t="shared" si="17"/>
        <v>12.299999999999997</v>
      </c>
    </row>
    <row r="83" spans="1:23" x14ac:dyDescent="0.2">
      <c r="A83" t="s">
        <v>95</v>
      </c>
      <c r="B83" t="s">
        <v>26</v>
      </c>
      <c r="C83">
        <v>5</v>
      </c>
      <c r="D83" s="13">
        <v>0</v>
      </c>
      <c r="G83">
        <f>[1]Martha_cm!O239-[1]Martha_cm!R239</f>
        <v>7.5000000000000071</v>
      </c>
      <c r="K83" s="6">
        <f>[1]Martha_cm!O239-[1]Martha_cm!V239</f>
        <v>8.2999999999999972</v>
      </c>
      <c r="L83" s="6">
        <f>[1]Martha_cm!O239-[1]Martha_cm!W239</f>
        <v>8.2000000000000028</v>
      </c>
      <c r="U83">
        <f>[1]Martha_cm!O239-[1]Martha_cm!AF239</f>
        <v>9.7999999999999972</v>
      </c>
      <c r="V83" s="6">
        <f t="shared" si="17"/>
        <v>9.7999999999999972</v>
      </c>
    </row>
    <row r="84" spans="1:23" x14ac:dyDescent="0.2">
      <c r="A84" t="s">
        <v>95</v>
      </c>
      <c r="B84" t="s">
        <v>26</v>
      </c>
      <c r="C84">
        <v>6</v>
      </c>
      <c r="D84" s="13">
        <v>0</v>
      </c>
      <c r="G84">
        <f>[1]Martha_cm!O240-[1]Martha_cm!R240</f>
        <v>6.8999999999999986</v>
      </c>
      <c r="K84" s="6">
        <f>[1]Martha_cm!O240-[1]Martha_cm!V240</f>
        <v>7.6999999999999957</v>
      </c>
      <c r="L84" s="6">
        <f>[1]Martha_cm!O240-[1]Martha_cm!W240</f>
        <v>7.3999999999999986</v>
      </c>
      <c r="U84">
        <f>[1]Martha_cm!O240-[1]Martha_cm!AF240</f>
        <v>8.7999999999999972</v>
      </c>
      <c r="V84" s="6">
        <f t="shared" si="17"/>
        <v>8.7999999999999972</v>
      </c>
    </row>
    <row r="85" spans="1:23" x14ac:dyDescent="0.2">
      <c r="A85" t="s">
        <v>95</v>
      </c>
      <c r="B85" t="s">
        <v>26</v>
      </c>
      <c r="C85">
        <v>8</v>
      </c>
      <c r="D85" s="13">
        <v>0</v>
      </c>
      <c r="G85">
        <f>[1]Martha_cm!O242-[1]Martha_cm!R242</f>
        <v>7.6999999999999957</v>
      </c>
      <c r="K85" s="6">
        <f>[1]Martha_cm!O242-[1]Martha_cm!V242</f>
        <v>7.8499999999999943</v>
      </c>
      <c r="L85" s="6">
        <f>[1]Martha_cm!O242-[1]Martha_cm!W242</f>
        <v>7.5</v>
      </c>
      <c r="U85">
        <f>[1]Martha_cm!O242-[1]Martha_cm!AF242</f>
        <v>11.200000000000003</v>
      </c>
      <c r="V85" s="6">
        <f t="shared" si="17"/>
        <v>11.200000000000003</v>
      </c>
    </row>
    <row r="86" spans="1:23" x14ac:dyDescent="0.2">
      <c r="A86" t="s">
        <v>95</v>
      </c>
      <c r="B86" t="s">
        <v>26</v>
      </c>
      <c r="C86">
        <v>9</v>
      </c>
      <c r="D86" s="13">
        <v>0</v>
      </c>
      <c r="G86">
        <f>[1]Martha_cm!O243-[1]Martha_cm!R243</f>
        <v>7.8000000000000043</v>
      </c>
      <c r="K86" s="6">
        <f>[1]Martha_cm!O243-[1]Martha_cm!V243</f>
        <v>8.2000000000000028</v>
      </c>
      <c r="L86" s="6">
        <f>[1]Martha_cm!O243-[1]Martha_cm!W243</f>
        <v>8.2000000000000028</v>
      </c>
      <c r="U86">
        <f>[1]Martha_cm!O243-[1]Martha_cm!AF243</f>
        <v>10.300000000000004</v>
      </c>
      <c r="V86" s="6">
        <f t="shared" si="17"/>
        <v>10.300000000000004</v>
      </c>
    </row>
    <row r="87" spans="1:23" x14ac:dyDescent="0.2">
      <c r="A87" t="s">
        <v>95</v>
      </c>
      <c r="B87" t="s">
        <v>26</v>
      </c>
      <c r="C87">
        <v>14</v>
      </c>
      <c r="D87" s="13">
        <v>0</v>
      </c>
      <c r="G87" s="4">
        <f>[1]Martha_cm!O248-[1]Martha_cm!R248</f>
        <v>8.4999999999999929</v>
      </c>
      <c r="K87" s="5">
        <f>[1]Martha_cm!O248-[1]Martha_cm!V248</f>
        <v>8.6999999999999957</v>
      </c>
      <c r="L87" s="5">
        <f>[1]Martha_cm!O248-[1]Martha_cm!W248</f>
        <v>8.0999999999999943</v>
      </c>
      <c r="U87" s="4">
        <f>[1]Martha_cm!O248-[1]Martha_cm!AF248</f>
        <v>10.899999999999999</v>
      </c>
      <c r="V87" s="6">
        <f t="shared" si="17"/>
        <v>10.899999999999999</v>
      </c>
      <c r="W87" t="s">
        <v>16</v>
      </c>
    </row>
    <row r="88" spans="1:23" s="1" customFormat="1" x14ac:dyDescent="0.2">
      <c r="A88" t="s">
        <v>95</v>
      </c>
      <c r="B88" s="1" t="s">
        <v>26</v>
      </c>
      <c r="C88" s="1" t="s">
        <v>44</v>
      </c>
      <c r="D88" s="1">
        <v>0</v>
      </c>
      <c r="G88" s="1">
        <f>AVERAGE(G82:G87)</f>
        <v>7.8833333333333329</v>
      </c>
      <c r="K88" s="1">
        <f t="shared" ref="K88:V88" si="18">AVERAGE(K82:K87)</f>
        <v>8.2583333333333311</v>
      </c>
      <c r="L88" s="1">
        <f t="shared" si="18"/>
        <v>8.0166666666666657</v>
      </c>
      <c r="U88" s="1">
        <f t="shared" si="18"/>
        <v>10.549999999999999</v>
      </c>
      <c r="V88" s="1">
        <f t="shared" si="18"/>
        <v>10.549999999999999</v>
      </c>
    </row>
    <row r="89" spans="1:23" x14ac:dyDescent="0.2">
      <c r="A89" t="s">
        <v>95</v>
      </c>
      <c r="B89" t="s">
        <v>26</v>
      </c>
      <c r="C89" s="9" t="s">
        <v>45</v>
      </c>
      <c r="D89" s="9"/>
      <c r="E89" s="9"/>
      <c r="F89" s="9"/>
      <c r="G89" s="9">
        <v>-60.6</v>
      </c>
      <c r="H89" s="9"/>
      <c r="I89" s="9"/>
      <c r="J89" s="9"/>
      <c r="K89" s="11">
        <v>-110.00000000000001</v>
      </c>
      <c r="L89" s="11">
        <v>-110.00000000000001</v>
      </c>
      <c r="M89" s="9"/>
      <c r="N89" s="9"/>
      <c r="O89" s="9"/>
      <c r="P89" s="9"/>
      <c r="Q89" s="9"/>
      <c r="R89" s="9"/>
      <c r="S89" s="9"/>
      <c r="T89" s="9"/>
      <c r="U89" s="9">
        <v>-26.499999999999989</v>
      </c>
      <c r="V89" s="7">
        <f>(MAX(D89:U89)-MIN(D89:U89))</f>
        <v>83.500000000000028</v>
      </c>
      <c r="W89" t="s">
        <v>19</v>
      </c>
    </row>
    <row r="90" spans="1:23" x14ac:dyDescent="0.2">
      <c r="A90" t="s">
        <v>95</v>
      </c>
      <c r="B90" t="s">
        <v>27</v>
      </c>
      <c r="C90">
        <v>2</v>
      </c>
      <c r="D90" s="14">
        <v>0</v>
      </c>
      <c r="G90">
        <f>[1]Martha_cm!O253-[1]Martha_cm!R253</f>
        <v>7.5</v>
      </c>
      <c r="K90" s="6">
        <f>[1]Martha_cm!O253-[1]Martha_cm!V253</f>
        <v>10.650000000000006</v>
      </c>
      <c r="L90" s="6">
        <f>[1]Martha_cm!O253-[1]Martha_cm!W253</f>
        <v>9.2000000000000028</v>
      </c>
      <c r="U90">
        <f>[1]Martha_cm!O253-[1]Martha_cm!AF253</f>
        <v>13.399999999999999</v>
      </c>
      <c r="V90" s="6">
        <f>(MAX(D90:U90)-MIN(D90:U90))</f>
        <v>13.399999999999999</v>
      </c>
    </row>
    <row r="91" spans="1:23" x14ac:dyDescent="0.2">
      <c r="A91" t="s">
        <v>95</v>
      </c>
      <c r="B91" t="s">
        <v>27</v>
      </c>
      <c r="C91">
        <v>4</v>
      </c>
      <c r="D91" s="13">
        <v>0</v>
      </c>
      <c r="G91">
        <f>[1]Martha_cm!O255-[1]Martha_cm!R255</f>
        <v>8.1999999999999957</v>
      </c>
      <c r="K91" s="6">
        <f>[1]Martha_cm!O255-[1]Martha_cm!V255</f>
        <v>8.6000000000000014</v>
      </c>
      <c r="L91" s="6">
        <f>[1]Martha_cm!O255-[1]Martha_cm!W255</f>
        <v>8</v>
      </c>
      <c r="U91">
        <f>[1]Martha_cm!O255-[1]Martha_cm!AF255</f>
        <v>10.200000000000003</v>
      </c>
      <c r="V91" s="6">
        <f>(MAX(D91:U91)-MIN(D91:U91))</f>
        <v>10.200000000000003</v>
      </c>
    </row>
    <row r="92" spans="1:23" x14ac:dyDescent="0.2">
      <c r="A92" t="s">
        <v>95</v>
      </c>
      <c r="B92" t="s">
        <v>27</v>
      </c>
      <c r="C92">
        <v>8</v>
      </c>
      <c r="D92" s="13">
        <v>0</v>
      </c>
      <c r="G92">
        <f>[1]Martha_cm!O259-[1]Martha_cm!R259</f>
        <v>7.3999999999999986</v>
      </c>
      <c r="K92" s="6">
        <f>[1]Martha_cm!O259-[1]Martha_cm!V259</f>
        <v>8.3500000000000014</v>
      </c>
      <c r="L92" s="6">
        <f>[1]Martha_cm!O259-[1]Martha_cm!W259</f>
        <v>7.1999999999999957</v>
      </c>
      <c r="U92">
        <f>[1]Martha_cm!O259-[1]Martha_cm!AF259</f>
        <v>9.3999999999999986</v>
      </c>
      <c r="V92" s="6">
        <f>(MAX(D92:U92)-MIN(D92:U92))</f>
        <v>9.3999999999999986</v>
      </c>
    </row>
    <row r="93" spans="1:23" s="1" customFormat="1" x14ac:dyDescent="0.2">
      <c r="A93" t="s">
        <v>95</v>
      </c>
      <c r="B93" s="1" t="s">
        <v>27</v>
      </c>
      <c r="C93" s="1" t="s">
        <v>44</v>
      </c>
      <c r="D93" s="1">
        <v>0</v>
      </c>
      <c r="G93" s="1">
        <f>AVERAGE(G90:G92)</f>
        <v>7.6999999999999984</v>
      </c>
      <c r="K93" s="1">
        <f t="shared" ref="K93:V93" si="19">AVERAGE(K90:K92)</f>
        <v>9.2000000000000028</v>
      </c>
      <c r="L93" s="1">
        <f t="shared" si="19"/>
        <v>8.1333333333333329</v>
      </c>
      <c r="U93" s="1">
        <f t="shared" si="19"/>
        <v>11</v>
      </c>
      <c r="V93" s="1">
        <f t="shared" si="19"/>
        <v>11</v>
      </c>
    </row>
    <row r="94" spans="1:23" x14ac:dyDescent="0.2">
      <c r="A94" t="s">
        <v>95</v>
      </c>
      <c r="B94" t="s">
        <v>27</v>
      </c>
      <c r="C94" s="9" t="s">
        <v>45</v>
      </c>
      <c r="D94" s="9"/>
      <c r="E94" s="9"/>
      <c r="F94" s="9"/>
      <c r="G94" s="9">
        <v>-82.40000000000002</v>
      </c>
      <c r="H94" s="9"/>
      <c r="I94" s="9"/>
      <c r="J94" s="9"/>
      <c r="K94" s="11">
        <v>-106.49999999999997</v>
      </c>
      <c r="L94" s="11">
        <v>-106.49999999999997</v>
      </c>
      <c r="M94" s="9"/>
      <c r="N94" s="9"/>
      <c r="O94" s="9"/>
      <c r="P94" s="9"/>
      <c r="Q94" s="9"/>
      <c r="R94" s="9"/>
      <c r="S94" s="9"/>
      <c r="T94" s="9"/>
      <c r="U94" s="9">
        <v>-33.15</v>
      </c>
      <c r="V94" s="7">
        <f t="shared" ref="V94:V99" si="20">(MAX(D94:U94)-MIN(D94:U94))</f>
        <v>73.349999999999966</v>
      </c>
      <c r="W94" t="s">
        <v>19</v>
      </c>
    </row>
    <row r="95" spans="1:23" x14ac:dyDescent="0.2">
      <c r="A95" t="s">
        <v>95</v>
      </c>
      <c r="B95" t="s">
        <v>28</v>
      </c>
      <c r="C95">
        <v>5</v>
      </c>
      <c r="D95" s="13">
        <v>0</v>
      </c>
      <c r="G95">
        <f>[1]Martha_cm!O273-[1]Martha_cm!R273</f>
        <v>7.8999999999999915</v>
      </c>
      <c r="K95" s="6">
        <f>[1]Martha_cm!O273-[1]Martha_cm!V273</f>
        <v>5.3499999999999943</v>
      </c>
      <c r="L95" s="6">
        <f>[1]Martha_cm!O273-[1]Martha_cm!W273</f>
        <v>5.5999999999999943</v>
      </c>
      <c r="U95">
        <f>[1]Martha_cm!O273-[1]Martha_cm!AF273</f>
        <v>10.499999999999993</v>
      </c>
      <c r="V95" s="6">
        <f t="shared" si="20"/>
        <v>10.499999999999993</v>
      </c>
    </row>
    <row r="96" spans="1:23" x14ac:dyDescent="0.2">
      <c r="A96" t="s">
        <v>95</v>
      </c>
      <c r="B96" t="s">
        <v>28</v>
      </c>
      <c r="C96">
        <v>6</v>
      </c>
      <c r="D96" s="13">
        <v>0</v>
      </c>
      <c r="G96">
        <f>[1]Martha_cm!O274-[1]Martha_cm!R274</f>
        <v>7.2999999999999972</v>
      </c>
      <c r="K96" s="6">
        <f>[1]Martha_cm!O274-[1]Martha_cm!V274</f>
        <v>11.04999999999999</v>
      </c>
      <c r="L96" s="6">
        <f>[1]Martha_cm!O274-[1]Martha_cm!W274</f>
        <v>11.099999999999994</v>
      </c>
      <c r="U96">
        <f>[1]Martha_cm!O274-[1]Martha_cm!AF274</f>
        <v>14.599999999999994</v>
      </c>
      <c r="V96" s="6">
        <f t="shared" si="20"/>
        <v>14.599999999999994</v>
      </c>
    </row>
    <row r="97" spans="1:28" x14ac:dyDescent="0.2">
      <c r="A97" t="s">
        <v>95</v>
      </c>
      <c r="B97" t="s">
        <v>28</v>
      </c>
      <c r="C97">
        <v>7</v>
      </c>
      <c r="D97" s="13">
        <v>0</v>
      </c>
      <c r="G97">
        <f>[1]Martha_cm!O275-[1]Martha_cm!R275</f>
        <v>8.6999999999999957</v>
      </c>
      <c r="K97" s="6">
        <f>[1]Martha_cm!O275-[1]Martha_cm!V275</f>
        <v>9.2999999999999972</v>
      </c>
      <c r="L97" s="6">
        <f>[1]Martha_cm!O275-[1]Martha_cm!W275</f>
        <v>8.3999999999999915</v>
      </c>
      <c r="U97">
        <f>[1]Martha_cm!O275-[1]Martha_cm!AF275</f>
        <v>12.099999999999994</v>
      </c>
      <c r="V97" s="6">
        <f t="shared" si="20"/>
        <v>12.099999999999994</v>
      </c>
      <c r="AB97" t="s">
        <v>29</v>
      </c>
    </row>
    <row r="98" spans="1:28" x14ac:dyDescent="0.2">
      <c r="A98" t="s">
        <v>95</v>
      </c>
      <c r="B98" t="s">
        <v>28</v>
      </c>
      <c r="C98">
        <v>13</v>
      </c>
      <c r="D98" s="13">
        <v>0</v>
      </c>
      <c r="G98">
        <f>[1]Martha_cm!O281-[1]Martha_cm!R281</f>
        <v>7.8000000000000043</v>
      </c>
      <c r="K98" s="5">
        <f>[1]Martha_cm!O281-[1]Martha_cm!V281</f>
        <v>9.9000000000000057</v>
      </c>
      <c r="L98" s="5">
        <f>[1]Martha_cm!O281-[1]Martha_cm!W281</f>
        <v>8.8000000000000043</v>
      </c>
      <c r="U98" s="4">
        <f>[1]Martha_cm!O281-[1]Martha_cm!AF281</f>
        <v>8.3000000000000043</v>
      </c>
      <c r="V98" s="6">
        <f t="shared" si="20"/>
        <v>9.9000000000000057</v>
      </c>
      <c r="W98" t="s">
        <v>18</v>
      </c>
    </row>
    <row r="99" spans="1:28" x14ac:dyDescent="0.2">
      <c r="A99" t="s">
        <v>95</v>
      </c>
      <c r="B99" t="s">
        <v>28</v>
      </c>
      <c r="C99">
        <v>16</v>
      </c>
      <c r="D99" s="13">
        <v>0</v>
      </c>
      <c r="G99">
        <f>[1]Martha_cm!O284-[1]Martha_cm!R284</f>
        <v>7.5999999999999943</v>
      </c>
      <c r="K99" s="6">
        <f>[1]Martha_cm!O284-[1]Martha_cm!V284</f>
        <v>9.4999999999999858</v>
      </c>
      <c r="L99" s="6">
        <f>[1]Martha_cm!O284-[1]Martha_cm!W284</f>
        <v>9.0999999999999943</v>
      </c>
      <c r="U99">
        <f>[1]Martha_cm!O284-[1]Martha_cm!AF284</f>
        <v>12.099999999999994</v>
      </c>
      <c r="V99" s="6">
        <f t="shared" si="20"/>
        <v>12.099999999999994</v>
      </c>
    </row>
    <row r="100" spans="1:28" s="1" customFormat="1" x14ac:dyDescent="0.2">
      <c r="A100" t="s">
        <v>95</v>
      </c>
      <c r="B100" s="1" t="s">
        <v>28</v>
      </c>
      <c r="C100" s="1" t="s">
        <v>44</v>
      </c>
      <c r="D100" s="1">
        <v>0</v>
      </c>
      <c r="G100" s="1">
        <f>AVERAGE(G95:G99)</f>
        <v>7.8599999999999968</v>
      </c>
      <c r="K100" s="1">
        <f>AVERAGE(K95:K99)</f>
        <v>9.0199999999999942</v>
      </c>
      <c r="L100" s="1">
        <f>AVERAGE(L95:L99)</f>
        <v>8.5999999999999961</v>
      </c>
      <c r="U100" s="1">
        <f>AVERAGE(U95:U99)</f>
        <v>11.519999999999996</v>
      </c>
      <c r="V100" s="1">
        <f t="shared" ref="V100" si="21">AVERAGE(V95:V99)</f>
        <v>11.839999999999996</v>
      </c>
    </row>
    <row r="101" spans="1:28" x14ac:dyDescent="0.2">
      <c r="A101" t="s">
        <v>95</v>
      </c>
      <c r="B101" t="s">
        <v>28</v>
      </c>
      <c r="C101" s="9" t="s">
        <v>45</v>
      </c>
      <c r="D101" s="9"/>
      <c r="E101" s="9"/>
      <c r="F101" s="9"/>
      <c r="G101" s="9">
        <v>-60</v>
      </c>
      <c r="H101" s="9"/>
      <c r="I101" s="9"/>
      <c r="J101" s="9"/>
      <c r="K101" s="11">
        <v>-95.7</v>
      </c>
      <c r="L101" s="11">
        <v>-95.7</v>
      </c>
      <c r="M101" s="9"/>
      <c r="N101" s="9"/>
      <c r="O101" s="9"/>
      <c r="P101" s="9"/>
      <c r="Q101" s="9"/>
      <c r="R101" s="9"/>
      <c r="S101" s="9"/>
      <c r="T101" s="9"/>
      <c r="U101" s="9">
        <v>-31.400000000000006</v>
      </c>
      <c r="V101" s="7">
        <f>(MAX(D101:U101)-MIN(D101:U101))</f>
        <v>64.3</v>
      </c>
      <c r="W10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224D-D50A-4957-BA39-A19D708BAB62}">
  <dimension ref="A1:AH128"/>
  <sheetViews>
    <sheetView workbookViewId="0">
      <selection activeCell="A122" sqref="A122:A128"/>
    </sheetView>
  </sheetViews>
  <sheetFormatPr baseColWidth="10" defaultColWidth="8.83203125" defaultRowHeight="15" x14ac:dyDescent="0.2"/>
  <cols>
    <col min="2" max="2" width="9.6640625" customWidth="1"/>
    <col min="3" max="3" width="12.33203125" bestFit="1" customWidth="1"/>
    <col min="4" max="4" width="10.83203125" bestFit="1" customWidth="1"/>
    <col min="5" max="5" width="10" bestFit="1" customWidth="1"/>
    <col min="6" max="6" width="9.5" bestFit="1" customWidth="1"/>
    <col min="7" max="7" width="10.83203125" bestFit="1" customWidth="1"/>
    <col min="8" max="8" width="10" bestFit="1" customWidth="1"/>
    <col min="9" max="9" width="9.5" bestFit="1" customWidth="1"/>
    <col min="10" max="10" width="9.6640625" bestFit="1" customWidth="1"/>
    <col min="11" max="12" width="10.83203125" bestFit="1" customWidth="1"/>
    <col min="13" max="13" width="10" bestFit="1" customWidth="1"/>
    <col min="14" max="14" width="9.5" bestFit="1" customWidth="1"/>
    <col min="15" max="15" width="8.6640625" bestFit="1" customWidth="1"/>
    <col min="16" max="17" width="10" bestFit="1" customWidth="1"/>
    <col min="18" max="18" width="9.5" bestFit="1" customWidth="1"/>
    <col min="19" max="19" width="9.6640625" bestFit="1" customWidth="1"/>
    <col min="20" max="20" width="10" bestFit="1" customWidth="1"/>
    <col min="21" max="21" width="17.6640625" customWidth="1"/>
    <col min="22" max="25" width="8.1640625" style="15" customWidth="1"/>
    <col min="26" max="26" width="14.83203125" style="15" customWidth="1"/>
    <col min="27" max="27" width="21.33203125" style="15" bestFit="1" customWidth="1"/>
    <col min="28" max="28" width="8.1640625" style="15" customWidth="1"/>
  </cols>
  <sheetData>
    <row r="1" spans="1:29" s="1" customFormat="1" x14ac:dyDescent="0.2">
      <c r="D1" s="2">
        <v>43313</v>
      </c>
      <c r="E1" s="2">
        <v>43344</v>
      </c>
      <c r="F1" s="2">
        <v>43374</v>
      </c>
      <c r="G1" s="2">
        <v>43405</v>
      </c>
      <c r="H1" s="2">
        <v>43435</v>
      </c>
      <c r="I1" s="2">
        <v>43466</v>
      </c>
      <c r="J1" s="2">
        <v>43497</v>
      </c>
      <c r="K1" s="2">
        <v>43525</v>
      </c>
      <c r="L1" s="2">
        <v>43556</v>
      </c>
      <c r="M1" s="2">
        <v>43586</v>
      </c>
      <c r="N1" s="2">
        <v>43617</v>
      </c>
      <c r="O1" s="2">
        <v>43647</v>
      </c>
      <c r="P1" s="2">
        <v>43678</v>
      </c>
      <c r="Q1" s="2">
        <v>43709</v>
      </c>
      <c r="R1" s="2">
        <v>43739</v>
      </c>
      <c r="S1" s="2">
        <v>43770</v>
      </c>
      <c r="T1" s="2">
        <v>43800</v>
      </c>
      <c r="U1" s="2">
        <v>43831</v>
      </c>
      <c r="V1" s="3" t="s">
        <v>2</v>
      </c>
      <c r="W1" s="3" t="s">
        <v>30</v>
      </c>
      <c r="X1" s="3" t="s">
        <v>31</v>
      </c>
      <c r="Y1" s="3" t="s">
        <v>32</v>
      </c>
      <c r="Z1" s="3" t="s">
        <v>33</v>
      </c>
      <c r="AA1" s="3" t="s">
        <v>34</v>
      </c>
      <c r="AB1" s="3" t="s">
        <v>35</v>
      </c>
      <c r="AC1" s="1" t="s">
        <v>3</v>
      </c>
    </row>
    <row r="2" spans="1:29" s="1" customFormat="1" x14ac:dyDescent="0.2">
      <c r="A2" s="1" t="s">
        <v>92</v>
      </c>
      <c r="B2" s="1" t="s">
        <v>0</v>
      </c>
      <c r="C2" s="1" t="s">
        <v>1</v>
      </c>
      <c r="D2" s="16">
        <v>43327</v>
      </c>
      <c r="E2" s="16"/>
      <c r="F2" s="16"/>
      <c r="G2" s="16"/>
      <c r="H2" s="16"/>
      <c r="I2" s="16"/>
      <c r="J2" s="16"/>
      <c r="K2" s="16">
        <v>43546</v>
      </c>
      <c r="L2" s="16">
        <v>43556</v>
      </c>
      <c r="M2" s="16"/>
      <c r="N2" s="16"/>
      <c r="O2" s="16"/>
      <c r="P2" s="16"/>
      <c r="Q2" s="16"/>
      <c r="R2" s="16"/>
      <c r="S2" s="16"/>
      <c r="T2" s="16"/>
      <c r="U2" s="16">
        <v>43867</v>
      </c>
      <c r="V2" s="3"/>
      <c r="W2" s="3"/>
      <c r="X2" s="3"/>
      <c r="Y2" s="3"/>
      <c r="Z2" s="3"/>
      <c r="AA2" s="3"/>
      <c r="AB2" s="3"/>
    </row>
    <row r="3" spans="1:29" x14ac:dyDescent="0.2">
      <c r="A3" t="s">
        <v>96</v>
      </c>
      <c r="B3" t="s">
        <v>4</v>
      </c>
      <c r="C3">
        <v>2</v>
      </c>
      <c r="D3">
        <v>0</v>
      </c>
      <c r="K3">
        <v>-2.0000000000000282E-3</v>
      </c>
      <c r="L3">
        <v>-5.0000000000000001E-3</v>
      </c>
      <c r="U3">
        <v>-2.0000000000000282E-3</v>
      </c>
      <c r="V3">
        <v>5.0000000000000001E-3</v>
      </c>
      <c r="W3">
        <f>U3</f>
        <v>-2.0000000000000282E-3</v>
      </c>
      <c r="Z3"/>
      <c r="AA3"/>
      <c r="AB3"/>
      <c r="AC3" t="s">
        <v>5</v>
      </c>
    </row>
    <row r="4" spans="1:29" x14ac:dyDescent="0.2">
      <c r="A4" t="s">
        <v>96</v>
      </c>
      <c r="B4" t="s">
        <v>4</v>
      </c>
      <c r="C4">
        <v>5</v>
      </c>
      <c r="D4">
        <v>0</v>
      </c>
      <c r="K4">
        <v>-2.0499999999999973E-2</v>
      </c>
      <c r="L4">
        <v>-2.0000000000000143E-2</v>
      </c>
      <c r="U4">
        <v>-2.3000000000000114E-2</v>
      </c>
      <c r="V4">
        <v>2.3000000000000114E-2</v>
      </c>
      <c r="W4">
        <f t="shared" ref="W4:W82" si="0">U4</f>
        <v>-2.3000000000000114E-2</v>
      </c>
      <c r="X4"/>
      <c r="Y4"/>
      <c r="Z4"/>
      <c r="AA4"/>
      <c r="AB4"/>
    </row>
    <row r="5" spans="1:29" x14ac:dyDescent="0.2">
      <c r="A5" t="s">
        <v>96</v>
      </c>
      <c r="B5" t="s">
        <v>4</v>
      </c>
      <c r="C5">
        <v>6</v>
      </c>
      <c r="D5">
        <v>0</v>
      </c>
      <c r="K5">
        <v>-1.9499999999999743E-2</v>
      </c>
      <c r="L5">
        <v>-1.8999999999999774E-2</v>
      </c>
      <c r="U5">
        <v>-5.9999999999998006E-3</v>
      </c>
      <c r="V5">
        <v>1.9499999999999743E-2</v>
      </c>
      <c r="W5">
        <f t="shared" si="0"/>
        <v>-5.9999999999998006E-3</v>
      </c>
      <c r="X5"/>
      <c r="Y5"/>
      <c r="Z5"/>
      <c r="AA5"/>
      <c r="AB5"/>
    </row>
    <row r="6" spans="1:29" x14ac:dyDescent="0.2">
      <c r="A6" t="s">
        <v>96</v>
      </c>
      <c r="B6" t="s">
        <v>4</v>
      </c>
      <c r="C6">
        <v>7</v>
      </c>
      <c r="D6">
        <v>0</v>
      </c>
      <c r="K6">
        <v>3.0499999999999972E-2</v>
      </c>
      <c r="L6">
        <v>3.6999999999999887E-2</v>
      </c>
      <c r="U6">
        <v>-3.0000000000001137E-3</v>
      </c>
      <c r="V6">
        <v>0.04</v>
      </c>
      <c r="W6">
        <f t="shared" si="0"/>
        <v>-3.0000000000001137E-3</v>
      </c>
      <c r="X6"/>
      <c r="Y6"/>
      <c r="Z6"/>
      <c r="AA6"/>
      <c r="AB6"/>
      <c r="AC6" t="s">
        <v>6</v>
      </c>
    </row>
    <row r="7" spans="1:29" s="18" customFormat="1" x14ac:dyDescent="0.2">
      <c r="A7" t="s">
        <v>96</v>
      </c>
      <c r="B7" s="17" t="s">
        <v>4</v>
      </c>
      <c r="C7" s="17" t="s">
        <v>46</v>
      </c>
      <c r="D7" s="17">
        <v>0</v>
      </c>
      <c r="E7" s="17"/>
      <c r="F7" s="17"/>
      <c r="G7" s="17"/>
      <c r="H7" s="17"/>
      <c r="I7" s="17"/>
      <c r="J7" s="17"/>
      <c r="K7" s="17">
        <v>-2.8749999999999431E-3</v>
      </c>
      <c r="L7" s="17">
        <v>-1.7500000000000072E-3</v>
      </c>
      <c r="M7" s="17"/>
      <c r="N7" s="17"/>
      <c r="O7" s="17"/>
      <c r="P7" s="17"/>
      <c r="Q7" s="17"/>
      <c r="R7" s="17"/>
      <c r="S7" s="17"/>
      <c r="T7" s="17"/>
      <c r="U7" s="17">
        <v>-8.5000000000000145E-3</v>
      </c>
      <c r="V7" s="17">
        <f>AVERAGE(V3:V6)</f>
        <v>2.1874999999999964E-2</v>
      </c>
      <c r="W7" s="17">
        <f t="shared" si="0"/>
        <v>-8.5000000000000145E-3</v>
      </c>
      <c r="X7" s="18">
        <f>SLOPE(D7:U7,D2:U2)</f>
        <v>-1.6074638768365746E-5</v>
      </c>
      <c r="Y7" s="18">
        <f>INTERCEPT(D7:U7,D2:U2)</f>
        <v>0.69715505969276903</v>
      </c>
      <c r="Z7" s="17">
        <f>-(((X7*D2)+Y7)-((X7*U2)+Y7))</f>
        <v>-8.6803049349174488E-3</v>
      </c>
      <c r="AA7" s="17">
        <f>(Z7/(U2-D2))*365</f>
        <v>-5.8672431504534616E-3</v>
      </c>
      <c r="AB7" s="17"/>
    </row>
    <row r="8" spans="1:29" s="1" customFormat="1" x14ac:dyDescent="0.2">
      <c r="A8" t="s">
        <v>96</v>
      </c>
      <c r="B8" s="19" t="s">
        <v>4</v>
      </c>
      <c r="C8" s="9" t="s">
        <v>47</v>
      </c>
      <c r="D8" s="19">
        <v>-8.5999999999999993E-2</v>
      </c>
      <c r="E8" s="19"/>
      <c r="F8" s="19"/>
      <c r="G8" s="19"/>
      <c r="H8" s="19"/>
      <c r="I8" s="19"/>
      <c r="J8" s="19"/>
      <c r="K8" s="19">
        <v>0.11899999999999994</v>
      </c>
      <c r="L8" s="19">
        <v>0.20799999999999996</v>
      </c>
      <c r="M8" s="19"/>
      <c r="N8" s="19"/>
      <c r="O8" s="19"/>
      <c r="P8" s="19"/>
      <c r="Q8" s="19"/>
      <c r="R8" s="19"/>
      <c r="S8" s="19"/>
      <c r="T8" s="19"/>
      <c r="U8" s="19"/>
      <c r="V8" s="19">
        <f>(MAX(D8:U8)-MIN(P11:AH11))</f>
        <v>0.29299999999999998</v>
      </c>
      <c r="W8" s="8"/>
      <c r="X8" s="8"/>
      <c r="Y8" s="8"/>
      <c r="Z8" s="19"/>
      <c r="AA8" s="19"/>
      <c r="AB8" s="19">
        <f>AVERAGE(D8:L8)</f>
        <v>8.0333333333333298E-2</v>
      </c>
      <c r="AC8" s="1" t="s">
        <v>7</v>
      </c>
    </row>
    <row r="9" spans="1:29" s="1" customFormat="1" x14ac:dyDescent="0.2">
      <c r="W9"/>
      <c r="X9"/>
      <c r="Y9"/>
    </row>
    <row r="10" spans="1:29" s="1" customFormat="1" x14ac:dyDescent="0.2">
      <c r="A10" s="1" t="s">
        <v>92</v>
      </c>
      <c r="B10" s="1" t="s">
        <v>0</v>
      </c>
      <c r="C10" s="1" t="s">
        <v>1</v>
      </c>
      <c r="D10" s="16">
        <v>43304</v>
      </c>
      <c r="G10" s="16">
        <v>43418</v>
      </c>
      <c r="K10" s="16">
        <v>43546</v>
      </c>
      <c r="L10" s="16">
        <v>43556</v>
      </c>
      <c r="U10" s="16">
        <v>43867</v>
      </c>
      <c r="V10" s="3" t="s">
        <v>2</v>
      </c>
      <c r="W10" s="3" t="s">
        <v>30</v>
      </c>
      <c r="X10" s="3" t="s">
        <v>31</v>
      </c>
      <c r="Y10" s="3" t="s">
        <v>32</v>
      </c>
      <c r="Z10" s="3" t="s">
        <v>33</v>
      </c>
      <c r="AA10" s="3" t="s">
        <v>34</v>
      </c>
      <c r="AB10" s="3" t="s">
        <v>35</v>
      </c>
      <c r="AC10" s="1" t="s">
        <v>3</v>
      </c>
    </row>
    <row r="11" spans="1:29" x14ac:dyDescent="0.2">
      <c r="A11" t="s">
        <v>96</v>
      </c>
      <c r="B11" t="s">
        <v>8</v>
      </c>
      <c r="C11">
        <v>1</v>
      </c>
      <c r="D11">
        <v>0</v>
      </c>
      <c r="G11">
        <v>-6.0000000000000851E-3</v>
      </c>
      <c r="K11">
        <v>-1.8000000000000113E-2</v>
      </c>
      <c r="L11">
        <v>-2.1000000000000085E-2</v>
      </c>
      <c r="U11">
        <v>-8.5000000000000006E-2</v>
      </c>
      <c r="V11">
        <v>8.5000000000000006E-2</v>
      </c>
      <c r="W11">
        <f t="shared" si="0"/>
        <v>-8.5000000000000006E-2</v>
      </c>
      <c r="X11"/>
      <c r="Y11"/>
      <c r="Z11"/>
      <c r="AA11"/>
      <c r="AB11"/>
      <c r="AC11" s="1"/>
    </row>
    <row r="12" spans="1:29" x14ac:dyDescent="0.2">
      <c r="A12" t="s">
        <v>96</v>
      </c>
      <c r="B12" t="s">
        <v>8</v>
      </c>
      <c r="C12">
        <v>4</v>
      </c>
      <c r="D12">
        <v>0</v>
      </c>
      <c r="G12">
        <v>1.8000000000000113E-2</v>
      </c>
      <c r="K12">
        <v>2.0000000000000143E-2</v>
      </c>
      <c r="L12">
        <v>1.9000000000000059E-2</v>
      </c>
      <c r="U12">
        <v>-6.8999999999999909E-2</v>
      </c>
      <c r="V12">
        <v>8.9000000000000051E-2</v>
      </c>
      <c r="W12">
        <f t="shared" si="0"/>
        <v>-6.8999999999999909E-2</v>
      </c>
      <c r="X12"/>
      <c r="Y12"/>
      <c r="Z12"/>
      <c r="AA12"/>
      <c r="AB12"/>
    </row>
    <row r="13" spans="1:29" x14ac:dyDescent="0.2">
      <c r="A13" t="s">
        <v>96</v>
      </c>
      <c r="B13" t="s">
        <v>8</v>
      </c>
      <c r="C13">
        <v>6</v>
      </c>
      <c r="D13">
        <v>0</v>
      </c>
      <c r="G13">
        <v>3.7999999999999971E-2</v>
      </c>
      <c r="K13">
        <v>1.8999999999999916E-2</v>
      </c>
      <c r="L13">
        <v>-1.8000000000000113E-2</v>
      </c>
      <c r="U13">
        <v>-6.6000000000000086E-2</v>
      </c>
      <c r="V13">
        <v>0.10400000000000005</v>
      </c>
      <c r="W13">
        <f t="shared" si="0"/>
        <v>-6.6000000000000086E-2</v>
      </c>
      <c r="X13"/>
      <c r="Y13"/>
      <c r="Z13"/>
      <c r="AA13"/>
      <c r="AB13"/>
    </row>
    <row r="14" spans="1:29" x14ac:dyDescent="0.2">
      <c r="A14" t="s">
        <v>96</v>
      </c>
      <c r="B14" t="s">
        <v>8</v>
      </c>
      <c r="C14">
        <v>9</v>
      </c>
      <c r="D14">
        <v>0</v>
      </c>
      <c r="G14">
        <v>1.9000000000000059E-2</v>
      </c>
      <c r="K14">
        <v>-3.1000000000000087E-2</v>
      </c>
      <c r="L14">
        <v>-2.8000000000000115E-2</v>
      </c>
      <c r="U14">
        <v>-4.0999999999999946E-2</v>
      </c>
      <c r="V14">
        <v>0.06</v>
      </c>
      <c r="W14">
        <f t="shared" si="0"/>
        <v>-4.0999999999999946E-2</v>
      </c>
      <c r="X14"/>
      <c r="Y14"/>
      <c r="Z14"/>
      <c r="AA14"/>
      <c r="AB14"/>
    </row>
    <row r="15" spans="1:29" x14ac:dyDescent="0.2">
      <c r="A15" t="s">
        <v>96</v>
      </c>
      <c r="B15" t="s">
        <v>8</v>
      </c>
      <c r="C15">
        <v>10</v>
      </c>
      <c r="D15">
        <v>0</v>
      </c>
      <c r="G15">
        <v>2.0000000000000282E-3</v>
      </c>
      <c r="K15">
        <v>7.500000000000142E-3</v>
      </c>
      <c r="L15">
        <v>9.0000000000000566E-3</v>
      </c>
      <c r="U15">
        <v>-2.8999999999999915E-2</v>
      </c>
      <c r="V15">
        <v>3.7999999999999971E-2</v>
      </c>
      <c r="W15">
        <f t="shared" si="0"/>
        <v>-2.8999999999999915E-2</v>
      </c>
      <c r="X15"/>
      <c r="Y15"/>
      <c r="Z15"/>
      <c r="AA15"/>
      <c r="AB15"/>
    </row>
    <row r="16" spans="1:29" s="18" customFormat="1" x14ac:dyDescent="0.2">
      <c r="A16" t="s">
        <v>96</v>
      </c>
      <c r="B16" s="17" t="s">
        <v>8</v>
      </c>
      <c r="C16" s="17" t="s">
        <v>46</v>
      </c>
      <c r="D16" s="17">
        <v>0</v>
      </c>
      <c r="E16" s="17"/>
      <c r="F16" s="17"/>
      <c r="G16" s="17">
        <v>1.4200000000000016E-2</v>
      </c>
      <c r="H16" s="17"/>
      <c r="I16" s="17"/>
      <c r="J16" s="17"/>
      <c r="K16" s="17">
        <v>-5.0000000000000001E-4</v>
      </c>
      <c r="L16" s="17">
        <v>-7.8000000000000404E-3</v>
      </c>
      <c r="M16" s="17"/>
      <c r="N16" s="17"/>
      <c r="O16" s="17"/>
      <c r="P16" s="17"/>
      <c r="Q16" s="17"/>
      <c r="R16" s="17"/>
      <c r="S16" s="17"/>
      <c r="T16" s="17"/>
      <c r="U16" s="17">
        <v>-5.7999999999999968E-2</v>
      </c>
      <c r="V16" s="17">
        <f>AVERAGE(V11:V15)</f>
        <v>7.5200000000000017E-2</v>
      </c>
      <c r="W16" s="17">
        <f t="shared" si="0"/>
        <v>-5.7999999999999968E-2</v>
      </c>
      <c r="X16" s="17">
        <f>SLOPE(D16:U16,D10:U10)</f>
        <v>-1.176702395255387E-4</v>
      </c>
      <c r="Y16" s="17">
        <f>INTERCEPT(D16:U16,D10:U10)</f>
        <v>5.1127304225108086</v>
      </c>
      <c r="Z16" s="17">
        <f>-(((X16*D10)+Y16)-((X16*U10)+Y16))</f>
        <v>-6.6248344852877672E-2</v>
      </c>
      <c r="AA16" s="17">
        <f>(Z16/(U10-D10))*365</f>
        <v>-4.2949637426821223E-2</v>
      </c>
      <c r="AB16" s="17"/>
    </row>
    <row r="17" spans="1:29" x14ac:dyDescent="0.2">
      <c r="A17" t="s">
        <v>96</v>
      </c>
      <c r="B17" s="19" t="s">
        <v>8</v>
      </c>
      <c r="C17" s="9" t="s">
        <v>47</v>
      </c>
      <c r="D17" s="19"/>
      <c r="E17" s="19"/>
      <c r="F17" s="19"/>
      <c r="G17" s="19"/>
      <c r="H17" s="19"/>
      <c r="I17" s="19"/>
      <c r="J17" s="19"/>
      <c r="K17" s="19"/>
      <c r="L17" s="19"/>
      <c r="M17" s="19"/>
      <c r="N17" s="19"/>
      <c r="O17" s="19"/>
      <c r="P17" s="19"/>
      <c r="Q17" s="19"/>
      <c r="R17" s="19"/>
      <c r="S17" s="19"/>
      <c r="T17" s="19"/>
      <c r="U17" s="19"/>
      <c r="V17" s="19"/>
      <c r="W17" s="8"/>
      <c r="X17" s="8"/>
      <c r="Y17" s="8"/>
      <c r="Z17" s="19"/>
      <c r="AA17" s="19"/>
      <c r="AB17" s="19" t="e">
        <v>#N/A</v>
      </c>
      <c r="AC17" t="s">
        <v>9</v>
      </c>
    </row>
    <row r="18" spans="1:29" x14ac:dyDescent="0.2">
      <c r="B18" s="1"/>
      <c r="C18" s="1"/>
      <c r="D18" s="1"/>
      <c r="E18" s="1"/>
      <c r="F18" s="1"/>
      <c r="G18" s="1"/>
      <c r="H18" s="1"/>
      <c r="I18" s="1"/>
      <c r="J18" s="1"/>
      <c r="K18" s="1"/>
      <c r="L18" s="1"/>
      <c r="M18" s="1"/>
      <c r="N18" s="1"/>
      <c r="O18" s="1"/>
      <c r="P18" s="1"/>
      <c r="Q18" s="1"/>
      <c r="R18" s="1"/>
      <c r="S18" s="1"/>
      <c r="T18" s="1"/>
      <c r="U18" s="1"/>
      <c r="V18" s="1"/>
      <c r="W18"/>
      <c r="X18"/>
      <c r="Y18"/>
      <c r="Z18" s="1"/>
      <c r="AA18" s="1"/>
      <c r="AB18" s="1"/>
    </row>
    <row r="19" spans="1:29" x14ac:dyDescent="0.2">
      <c r="A19" s="1" t="s">
        <v>92</v>
      </c>
      <c r="B19" s="1" t="s">
        <v>0</v>
      </c>
      <c r="C19" s="1" t="s">
        <v>1</v>
      </c>
      <c r="D19" s="16">
        <v>43304</v>
      </c>
      <c r="E19" s="1"/>
      <c r="F19" s="1"/>
      <c r="G19" s="16">
        <v>43418</v>
      </c>
      <c r="H19" s="1"/>
      <c r="I19" s="1"/>
      <c r="J19" s="1"/>
      <c r="K19" s="16">
        <v>43546</v>
      </c>
      <c r="L19" s="16">
        <v>43556</v>
      </c>
      <c r="M19" s="1"/>
      <c r="N19" s="1"/>
      <c r="O19" s="1"/>
      <c r="P19" s="1"/>
      <c r="Q19" s="1"/>
      <c r="R19" s="1"/>
      <c r="S19" s="1"/>
      <c r="T19" s="1"/>
      <c r="U19" s="16">
        <v>43867</v>
      </c>
      <c r="V19" s="3" t="s">
        <v>2</v>
      </c>
      <c r="W19" s="3" t="s">
        <v>30</v>
      </c>
      <c r="X19" s="3" t="s">
        <v>31</v>
      </c>
      <c r="Y19" s="3" t="s">
        <v>32</v>
      </c>
      <c r="Z19" s="3" t="s">
        <v>33</v>
      </c>
      <c r="AA19" s="3" t="s">
        <v>34</v>
      </c>
      <c r="AB19" s="3" t="s">
        <v>35</v>
      </c>
      <c r="AC19" s="1" t="s">
        <v>3</v>
      </c>
    </row>
    <row r="20" spans="1:29" x14ac:dyDescent="0.2">
      <c r="A20" t="s">
        <v>96</v>
      </c>
      <c r="B20" t="s">
        <v>10</v>
      </c>
      <c r="C20">
        <v>5</v>
      </c>
      <c r="D20">
        <v>0</v>
      </c>
      <c r="G20">
        <v>1.6999999999999887E-2</v>
      </c>
      <c r="K20">
        <v>2.7999999999999831E-2</v>
      </c>
      <c r="L20">
        <v>4.09999999999998E-2</v>
      </c>
      <c r="U20">
        <v>3.4999999999999858E-2</v>
      </c>
      <c r="V20">
        <v>4.09999999999998E-2</v>
      </c>
      <c r="W20">
        <f t="shared" si="0"/>
        <v>3.4999999999999858E-2</v>
      </c>
      <c r="X20"/>
      <c r="Y20"/>
      <c r="Z20"/>
      <c r="AA20"/>
      <c r="AB20"/>
    </row>
    <row r="21" spans="1:29" x14ac:dyDescent="0.2">
      <c r="A21" t="s">
        <v>96</v>
      </c>
      <c r="B21" t="s">
        <v>10</v>
      </c>
      <c r="C21">
        <v>7</v>
      </c>
      <c r="D21">
        <v>0</v>
      </c>
      <c r="G21">
        <v>0.06</v>
      </c>
      <c r="K21">
        <v>7.2999999999999968E-2</v>
      </c>
      <c r="L21">
        <v>6.7999999999999977E-2</v>
      </c>
      <c r="U21">
        <v>8.2999999999999977E-2</v>
      </c>
      <c r="V21">
        <v>8.2999999999999977E-2</v>
      </c>
      <c r="W21">
        <f t="shared" si="0"/>
        <v>8.2999999999999977E-2</v>
      </c>
      <c r="X21"/>
      <c r="Y21"/>
      <c r="Z21"/>
      <c r="AA21"/>
      <c r="AB21"/>
      <c r="AC21" t="s">
        <v>11</v>
      </c>
    </row>
    <row r="22" spans="1:29" x14ac:dyDescent="0.2">
      <c r="A22" t="s">
        <v>96</v>
      </c>
      <c r="B22" t="s">
        <v>10</v>
      </c>
      <c r="C22">
        <v>8</v>
      </c>
      <c r="D22">
        <v>0</v>
      </c>
      <c r="G22">
        <v>4.7999999999999828E-2</v>
      </c>
      <c r="K22">
        <v>4.5999999999999798E-2</v>
      </c>
      <c r="L22">
        <v>3.7999999999999833E-2</v>
      </c>
      <c r="U22">
        <v>3.3999999999999912E-2</v>
      </c>
      <c r="V22">
        <v>4.7999999999999828E-2</v>
      </c>
      <c r="W22">
        <f t="shared" si="0"/>
        <v>3.3999999999999912E-2</v>
      </c>
      <c r="X22"/>
      <c r="Y22"/>
      <c r="Z22"/>
      <c r="AA22"/>
      <c r="AB22"/>
      <c r="AC22" t="s">
        <v>12</v>
      </c>
    </row>
    <row r="23" spans="1:29" x14ac:dyDescent="0.2">
      <c r="A23" t="s">
        <v>96</v>
      </c>
      <c r="B23" t="s">
        <v>10</v>
      </c>
      <c r="C23">
        <v>9</v>
      </c>
      <c r="D23">
        <v>0</v>
      </c>
      <c r="G23">
        <v>2.200000000000003E-2</v>
      </c>
      <c r="K23">
        <v>1.3500000000000085E-2</v>
      </c>
      <c r="L23">
        <v>-1.4999999999999857E-2</v>
      </c>
      <c r="U23">
        <v>3.7000000000000172E-2</v>
      </c>
      <c r="V23">
        <v>5.2000000000000025E-2</v>
      </c>
      <c r="W23">
        <f t="shared" si="0"/>
        <v>3.7000000000000172E-2</v>
      </c>
      <c r="X23"/>
      <c r="Y23"/>
      <c r="Z23"/>
      <c r="AA23"/>
      <c r="AB23"/>
      <c r="AC23" t="s">
        <v>12</v>
      </c>
    </row>
    <row r="24" spans="1:29" x14ac:dyDescent="0.2">
      <c r="A24" t="s">
        <v>96</v>
      </c>
      <c r="B24" t="s">
        <v>10</v>
      </c>
      <c r="C24">
        <v>11</v>
      </c>
      <c r="D24">
        <v>0</v>
      </c>
      <c r="G24">
        <v>6.1000000000000082E-2</v>
      </c>
      <c r="K24">
        <v>4.2500000000000142E-2</v>
      </c>
      <c r="L24">
        <v>3.2000000000000028E-2</v>
      </c>
      <c r="U24">
        <v>8.2000000000000031E-2</v>
      </c>
      <c r="V24">
        <v>8.2000000000000031E-2</v>
      </c>
      <c r="W24">
        <f t="shared" si="0"/>
        <v>8.2000000000000031E-2</v>
      </c>
      <c r="X24"/>
      <c r="Y24"/>
      <c r="Z24"/>
      <c r="AA24"/>
      <c r="AB24"/>
      <c r="AC24" t="s">
        <v>11</v>
      </c>
    </row>
    <row r="25" spans="1:29" x14ac:dyDescent="0.2">
      <c r="A25" t="s">
        <v>96</v>
      </c>
      <c r="B25" t="s">
        <v>10</v>
      </c>
      <c r="C25">
        <v>12</v>
      </c>
      <c r="D25">
        <v>0</v>
      </c>
      <c r="G25">
        <v>4.8999999999999912E-2</v>
      </c>
      <c r="K25">
        <v>3.3499999999999801E-2</v>
      </c>
      <c r="L25">
        <v>3.2999999999999974E-2</v>
      </c>
      <c r="U25">
        <v>8.5999999999999938E-2</v>
      </c>
      <c r="V25">
        <v>8.5999999999999938E-2</v>
      </c>
      <c r="W25">
        <f t="shared" si="0"/>
        <v>8.5999999999999938E-2</v>
      </c>
      <c r="X25"/>
      <c r="Y25"/>
      <c r="Z25"/>
      <c r="AA25"/>
      <c r="AB25"/>
      <c r="AC25" t="s">
        <v>12</v>
      </c>
    </row>
    <row r="26" spans="1:29" x14ac:dyDescent="0.2">
      <c r="A26" t="s">
        <v>96</v>
      </c>
      <c r="B26" t="s">
        <v>10</v>
      </c>
      <c r="C26">
        <v>15</v>
      </c>
      <c r="D26">
        <v>0</v>
      </c>
      <c r="G26">
        <v>2.3000000000000114E-2</v>
      </c>
      <c r="K26">
        <v>1.7000000000000029E-2</v>
      </c>
      <c r="L26">
        <v>1.2000000000000028E-2</v>
      </c>
      <c r="U26">
        <v>4.4999999999999998E-2</v>
      </c>
      <c r="V26">
        <v>4.4999999999999998E-2</v>
      </c>
      <c r="W26">
        <f t="shared" si="0"/>
        <v>4.4999999999999998E-2</v>
      </c>
      <c r="X26"/>
      <c r="Y26"/>
      <c r="Z26"/>
      <c r="AA26"/>
      <c r="AB26"/>
      <c r="AC26" t="s">
        <v>11</v>
      </c>
    </row>
    <row r="27" spans="1:29" s="18" customFormat="1" x14ac:dyDescent="0.2">
      <c r="A27" t="s">
        <v>96</v>
      </c>
      <c r="B27" s="17" t="s">
        <v>10</v>
      </c>
      <c r="C27" s="17" t="s">
        <v>46</v>
      </c>
      <c r="D27" s="17">
        <v>0</v>
      </c>
      <c r="E27" s="17"/>
      <c r="F27" s="17"/>
      <c r="G27" s="17">
        <v>3.999999999999998E-2</v>
      </c>
      <c r="H27" s="17"/>
      <c r="I27" s="17"/>
      <c r="J27" s="17"/>
      <c r="K27" s="17">
        <v>3.6214285714285664E-2</v>
      </c>
      <c r="L27" s="17">
        <v>2.9857142857142825E-2</v>
      </c>
      <c r="M27" s="17"/>
      <c r="N27" s="17"/>
      <c r="O27" s="17"/>
      <c r="P27" s="17"/>
      <c r="Q27" s="17"/>
      <c r="R27" s="17"/>
      <c r="S27" s="17"/>
      <c r="T27" s="17"/>
      <c r="U27" s="17">
        <v>5.7428571428571412E-2</v>
      </c>
      <c r="V27" s="17">
        <f>AVERAGE(V20:V26)</f>
        <v>6.2428571428571368E-2</v>
      </c>
      <c r="W27" s="17">
        <f t="shared" si="0"/>
        <v>5.7428571428571412E-2</v>
      </c>
      <c r="X27" s="17">
        <f>SLOPE(D27:U27,D19:U19)</f>
        <v>8.3744183176193089E-5</v>
      </c>
      <c r="Y27" s="17">
        <f>INTERCEPT(D27:U27,D19:U19)</f>
        <v>-3.6133709959617297</v>
      </c>
      <c r="Z27" s="17">
        <f>-(((X27*D19)+Y27)-((X27*U19)+Y27))</f>
        <v>4.7147975128196684E-2</v>
      </c>
      <c r="AA27" s="17">
        <f>(Z27/(U19-D19))*365</f>
        <v>3.0566626859310463E-2</v>
      </c>
      <c r="AB27" s="17"/>
    </row>
    <row r="28" spans="1:29" x14ac:dyDescent="0.2">
      <c r="A28" t="s">
        <v>96</v>
      </c>
      <c r="B28" s="19" t="s">
        <v>10</v>
      </c>
      <c r="C28" s="9" t="s">
        <v>47</v>
      </c>
      <c r="D28" s="19"/>
      <c r="E28" s="19"/>
      <c r="F28" s="19"/>
      <c r="G28" s="19">
        <v>0.121</v>
      </c>
      <c r="H28" s="19"/>
      <c r="I28" s="19"/>
      <c r="J28" s="19"/>
      <c r="K28" s="19">
        <v>-0.31533333333333324</v>
      </c>
      <c r="L28" s="19">
        <v>-9.4666666666666691E-2</v>
      </c>
      <c r="M28" s="19"/>
      <c r="N28" s="19"/>
      <c r="O28" s="19"/>
      <c r="P28" s="19"/>
      <c r="Q28" s="19"/>
      <c r="R28" s="19"/>
      <c r="S28" s="19"/>
      <c r="T28" s="19"/>
      <c r="U28" s="19">
        <v>1.266666666666668E-2</v>
      </c>
      <c r="V28" s="19">
        <v>0.43633333333333324</v>
      </c>
      <c r="W28" s="8"/>
      <c r="X28" s="8"/>
      <c r="Y28" s="8"/>
      <c r="Z28" s="19"/>
      <c r="AA28" s="19"/>
      <c r="AB28" s="19">
        <f>AVERAGE(G28,K28:L28,U28)</f>
        <v>-6.9083333333333316E-2</v>
      </c>
    </row>
    <row r="29" spans="1:29" x14ac:dyDescent="0.2">
      <c r="B29" s="1"/>
      <c r="C29" s="1"/>
      <c r="D29" s="1"/>
      <c r="E29" s="1"/>
      <c r="F29" s="1"/>
      <c r="G29" s="1"/>
      <c r="H29" s="1"/>
      <c r="I29" s="1"/>
      <c r="J29" s="1"/>
      <c r="K29" s="1"/>
      <c r="L29" s="1"/>
      <c r="M29" s="1"/>
      <c r="N29" s="1"/>
      <c r="O29" s="1"/>
      <c r="P29" s="1"/>
      <c r="Q29" s="1"/>
      <c r="R29" s="1"/>
      <c r="S29" s="1"/>
      <c r="T29" s="1"/>
      <c r="U29" s="1"/>
      <c r="V29" s="1"/>
      <c r="W29"/>
      <c r="X29"/>
      <c r="Y29"/>
      <c r="Z29" s="1"/>
      <c r="AA29" s="1"/>
      <c r="AB29" s="1"/>
    </row>
    <row r="30" spans="1:29" x14ac:dyDescent="0.2">
      <c r="A30" s="1" t="s">
        <v>92</v>
      </c>
      <c r="B30" s="1" t="s">
        <v>0</v>
      </c>
      <c r="C30" s="1" t="s">
        <v>1</v>
      </c>
      <c r="D30" s="16">
        <v>43327</v>
      </c>
      <c r="E30" s="1"/>
      <c r="F30" s="1"/>
      <c r="G30" s="16">
        <v>43411</v>
      </c>
      <c r="H30" s="1"/>
      <c r="I30" s="1"/>
      <c r="J30" s="1"/>
      <c r="K30" s="16">
        <v>43551</v>
      </c>
      <c r="L30" s="16">
        <v>43562</v>
      </c>
      <c r="M30" s="1"/>
      <c r="N30" s="1"/>
      <c r="O30" s="1"/>
      <c r="P30" s="1"/>
      <c r="Q30" s="1"/>
      <c r="R30" s="1"/>
      <c r="S30" s="1"/>
      <c r="T30" s="1"/>
      <c r="U30" s="16">
        <v>43850</v>
      </c>
      <c r="V30" s="3" t="s">
        <v>2</v>
      </c>
      <c r="W30" s="3" t="s">
        <v>30</v>
      </c>
      <c r="X30" s="3" t="s">
        <v>31</v>
      </c>
      <c r="Y30" s="3" t="s">
        <v>32</v>
      </c>
      <c r="Z30" s="3" t="s">
        <v>33</v>
      </c>
      <c r="AA30" s="3" t="s">
        <v>34</v>
      </c>
      <c r="AB30" s="3" t="s">
        <v>35</v>
      </c>
      <c r="AC30" s="1" t="s">
        <v>3</v>
      </c>
    </row>
    <row r="31" spans="1:29" x14ac:dyDescent="0.2">
      <c r="A31" t="s">
        <v>94</v>
      </c>
      <c r="B31" t="s">
        <v>13</v>
      </c>
      <c r="C31">
        <v>2</v>
      </c>
      <c r="D31">
        <v>0</v>
      </c>
      <c r="G31">
        <v>-7.9999999999999724E-3</v>
      </c>
      <c r="K31">
        <v>-2.3999999999999914E-2</v>
      </c>
      <c r="L31">
        <v>-1.5499999999999972E-2</v>
      </c>
      <c r="U31">
        <v>-4.7999999999999973E-2</v>
      </c>
      <c r="V31">
        <v>4.7999999999999973E-2</v>
      </c>
      <c r="W31">
        <f t="shared" si="0"/>
        <v>-4.7999999999999973E-2</v>
      </c>
      <c r="X31"/>
      <c r="Y31"/>
      <c r="Z31"/>
      <c r="AA31"/>
      <c r="AB31"/>
    </row>
    <row r="32" spans="1:29" x14ac:dyDescent="0.2">
      <c r="A32" t="s">
        <v>94</v>
      </c>
      <c r="B32" t="s">
        <v>13</v>
      </c>
      <c r="C32">
        <v>12</v>
      </c>
      <c r="D32">
        <v>0</v>
      </c>
      <c r="G32">
        <v>1.2000000000000028E-2</v>
      </c>
      <c r="K32">
        <v>4.0000000000000565E-3</v>
      </c>
      <c r="L32">
        <v>8.4999999999999434E-3</v>
      </c>
      <c r="U32">
        <v>0.01</v>
      </c>
      <c r="V32">
        <v>1.2000000000000028E-2</v>
      </c>
      <c r="W32">
        <f t="shared" si="0"/>
        <v>0.01</v>
      </c>
      <c r="X32"/>
      <c r="Y32"/>
      <c r="Z32"/>
      <c r="AA32"/>
      <c r="AB32"/>
    </row>
    <row r="33" spans="1:29" s="18" customFormat="1" x14ac:dyDescent="0.2">
      <c r="A33" t="s">
        <v>94</v>
      </c>
      <c r="B33" s="17" t="s">
        <v>13</v>
      </c>
      <c r="C33" s="17" t="s">
        <v>46</v>
      </c>
      <c r="D33" s="17">
        <v>0</v>
      </c>
      <c r="E33" s="17"/>
      <c r="F33" s="17"/>
      <c r="G33" s="17">
        <v>2.0000000000000282E-3</v>
      </c>
      <c r="H33" s="17"/>
      <c r="I33" s="17"/>
      <c r="J33" s="17"/>
      <c r="K33" s="17">
        <v>-9.9999999999999291E-3</v>
      </c>
      <c r="L33" s="17">
        <v>-3.5000000000000144E-3</v>
      </c>
      <c r="M33" s="17"/>
      <c r="N33" s="17"/>
      <c r="O33" s="17"/>
      <c r="P33" s="17"/>
      <c r="Q33" s="17"/>
      <c r="R33" s="17"/>
      <c r="S33" s="17"/>
      <c r="T33" s="17"/>
      <c r="U33" s="17">
        <v>-1.8999999999999986E-2</v>
      </c>
      <c r="V33" s="17">
        <f>AVERAGE(V31:V32)</f>
        <v>0.03</v>
      </c>
      <c r="W33" s="17">
        <f t="shared" si="0"/>
        <v>-1.8999999999999986E-2</v>
      </c>
      <c r="X33" s="17">
        <f>SLOPE(D33:U33,D30:U30)</f>
        <v>-3.9875928394831478E-5</v>
      </c>
      <c r="Y33" s="17">
        <f>INTERCEPT(D33:U33,D30:U30)</f>
        <v>1.7301058974966415</v>
      </c>
      <c r="Z33" s="17">
        <f>-(((X33*D30)+Y33)-((X33*U30)+Y33))</f>
        <v>-2.0855110550496825E-2</v>
      </c>
      <c r="AA33" s="17">
        <f>(Z33/(U30-D30))*365</f>
        <v>-1.4554713864113462E-2</v>
      </c>
      <c r="AB33" s="17"/>
    </row>
    <row r="34" spans="1:29" x14ac:dyDescent="0.2">
      <c r="A34" t="s">
        <v>94</v>
      </c>
      <c r="B34" s="19" t="s">
        <v>13</v>
      </c>
      <c r="C34" s="9" t="s">
        <v>47</v>
      </c>
      <c r="D34" s="19">
        <v>-0.28699999999999998</v>
      </c>
      <c r="E34" s="19"/>
      <c r="F34" s="19"/>
      <c r="G34" s="19">
        <v>-3.9333333333333359E-2</v>
      </c>
      <c r="H34" s="19"/>
      <c r="I34" s="19"/>
      <c r="J34" s="19"/>
      <c r="K34" s="19">
        <v>-0.28999999999999998</v>
      </c>
      <c r="L34" s="19">
        <v>-0.18625000000000003</v>
      </c>
      <c r="M34" s="19"/>
      <c r="N34" s="19"/>
      <c r="O34" s="19"/>
      <c r="P34" s="19"/>
      <c r="Q34" s="19"/>
      <c r="R34" s="19"/>
      <c r="S34" s="19"/>
      <c r="T34" s="19"/>
      <c r="U34" s="19">
        <v>0</v>
      </c>
      <c r="V34" s="19">
        <v>0.25066666666666659</v>
      </c>
      <c r="W34" s="8"/>
      <c r="X34" s="8"/>
      <c r="Y34" s="8"/>
      <c r="Z34" s="19"/>
      <c r="AA34" s="19"/>
      <c r="AB34" s="19">
        <f>AVERAGE(D34,G34,K34:L34)</f>
        <v>-0.20064583333333336</v>
      </c>
    </row>
    <row r="35" spans="1:29" x14ac:dyDescent="0.2">
      <c r="B35" s="1"/>
      <c r="C35" s="1"/>
      <c r="D35" s="1"/>
      <c r="E35" s="1"/>
      <c r="F35" s="1"/>
      <c r="G35" s="1"/>
      <c r="H35" s="1"/>
      <c r="I35" s="1"/>
      <c r="J35" s="1"/>
      <c r="K35" s="1"/>
      <c r="L35" s="1"/>
      <c r="M35" s="1"/>
      <c r="N35" s="1"/>
      <c r="O35" s="1"/>
      <c r="P35" s="1"/>
      <c r="Q35" s="1"/>
      <c r="R35" s="1"/>
      <c r="S35" s="1"/>
      <c r="T35" s="1"/>
      <c r="U35" s="1"/>
      <c r="V35" s="1"/>
      <c r="W35"/>
      <c r="X35"/>
      <c r="Y35"/>
      <c r="Z35" s="1"/>
      <c r="AA35" s="1"/>
      <c r="AB35" s="1"/>
    </row>
    <row r="36" spans="1:29" x14ac:dyDescent="0.2">
      <c r="A36" s="1" t="s">
        <v>92</v>
      </c>
      <c r="B36" s="1" t="s">
        <v>0</v>
      </c>
      <c r="C36" s="1" t="s">
        <v>1</v>
      </c>
      <c r="D36" s="16">
        <v>43304</v>
      </c>
      <c r="E36" s="1"/>
      <c r="F36" s="1"/>
      <c r="G36" s="16">
        <v>43416</v>
      </c>
      <c r="H36" s="1"/>
      <c r="I36" s="1"/>
      <c r="J36" s="1"/>
      <c r="K36" s="16">
        <v>43551</v>
      </c>
      <c r="L36" s="16">
        <v>43562</v>
      </c>
      <c r="M36" s="1"/>
      <c r="N36" s="1"/>
      <c r="O36" s="1"/>
      <c r="P36" s="1"/>
      <c r="Q36" s="1"/>
      <c r="R36" s="1"/>
      <c r="S36" s="1"/>
      <c r="T36" s="1"/>
      <c r="U36" s="16">
        <v>43850</v>
      </c>
      <c r="V36" s="3" t="s">
        <v>2</v>
      </c>
      <c r="W36" s="3" t="s">
        <v>30</v>
      </c>
      <c r="X36" s="3" t="s">
        <v>31</v>
      </c>
      <c r="Y36" s="3" t="s">
        <v>32</v>
      </c>
      <c r="Z36" s="3" t="s">
        <v>33</v>
      </c>
      <c r="AA36" s="3" t="s">
        <v>34</v>
      </c>
      <c r="AB36" s="3" t="s">
        <v>35</v>
      </c>
      <c r="AC36" s="1" t="s">
        <v>3</v>
      </c>
    </row>
    <row r="37" spans="1:29" x14ac:dyDescent="0.2">
      <c r="A37" t="s">
        <v>97</v>
      </c>
      <c r="B37" t="s">
        <v>14</v>
      </c>
      <c r="C37">
        <v>1</v>
      </c>
      <c r="D37">
        <v>0</v>
      </c>
      <c r="G37">
        <v>1.5000000000000142E-2</v>
      </c>
      <c r="K37">
        <v>5.700000000000003E-2</v>
      </c>
      <c r="L37">
        <v>7.4000000000000052E-2</v>
      </c>
      <c r="U37">
        <v>2.5999999999999943E-2</v>
      </c>
      <c r="V37">
        <v>7.4000000000000052E-2</v>
      </c>
      <c r="W37">
        <f t="shared" si="0"/>
        <v>2.5999999999999943E-2</v>
      </c>
      <c r="X37"/>
      <c r="Y37"/>
      <c r="Z37"/>
      <c r="AA37"/>
      <c r="AB37"/>
      <c r="AC37" s="1" t="s">
        <v>15</v>
      </c>
    </row>
    <row r="38" spans="1:29" x14ac:dyDescent="0.2">
      <c r="A38" t="s">
        <v>97</v>
      </c>
      <c r="B38" t="s">
        <v>14</v>
      </c>
      <c r="C38">
        <v>4</v>
      </c>
      <c r="D38">
        <v>0</v>
      </c>
      <c r="G38">
        <v>-2.4000000000000056E-2</v>
      </c>
      <c r="K38">
        <v>-7.9999999999999724E-3</v>
      </c>
      <c r="L38">
        <v>-1.950000000000017E-2</v>
      </c>
      <c r="U38">
        <v>7.9999999999999724E-3</v>
      </c>
      <c r="V38">
        <v>3.2000000000000028E-2</v>
      </c>
      <c r="W38">
        <f t="shared" si="0"/>
        <v>7.9999999999999724E-3</v>
      </c>
      <c r="X38"/>
      <c r="Y38"/>
      <c r="Z38"/>
      <c r="AA38"/>
      <c r="AB38"/>
    </row>
    <row r="39" spans="1:29" x14ac:dyDescent="0.2">
      <c r="A39" t="s">
        <v>97</v>
      </c>
      <c r="B39" t="s">
        <v>14</v>
      </c>
      <c r="C39">
        <v>5</v>
      </c>
      <c r="D39">
        <v>0</v>
      </c>
      <c r="G39">
        <v>-1.6000000000000084E-2</v>
      </c>
      <c r="K39">
        <v>-1.6000000000000084E-2</v>
      </c>
      <c r="L39">
        <v>2.9999999999999714E-3</v>
      </c>
      <c r="U39">
        <v>-6.4000000000000057E-2</v>
      </c>
      <c r="V39">
        <v>6.7000000000000032E-2</v>
      </c>
      <c r="W39">
        <f t="shared" si="0"/>
        <v>-6.4000000000000057E-2</v>
      </c>
      <c r="X39"/>
      <c r="Y39"/>
      <c r="Z39"/>
      <c r="AA39"/>
      <c r="AB39"/>
      <c r="AC39" t="s">
        <v>16</v>
      </c>
    </row>
    <row r="40" spans="1:29" x14ac:dyDescent="0.2">
      <c r="A40" t="s">
        <v>97</v>
      </c>
      <c r="B40" t="s">
        <v>14</v>
      </c>
      <c r="C40">
        <v>7</v>
      </c>
      <c r="D40">
        <v>0</v>
      </c>
      <c r="G40">
        <v>-5.0000000000000001E-3</v>
      </c>
      <c r="K40">
        <v>-7.9999999999999724E-3</v>
      </c>
      <c r="L40">
        <v>-1.2500000000000143E-2</v>
      </c>
      <c r="U40">
        <v>-1.4999999999999999E-2</v>
      </c>
      <c r="V40">
        <v>1.4999999999999999E-2</v>
      </c>
      <c r="W40">
        <f t="shared" si="0"/>
        <v>-1.4999999999999999E-2</v>
      </c>
      <c r="X40"/>
      <c r="Y40"/>
      <c r="Z40"/>
      <c r="AA40"/>
      <c r="AB40"/>
      <c r="AC40" t="s">
        <v>16</v>
      </c>
    </row>
    <row r="41" spans="1:29" x14ac:dyDescent="0.2">
      <c r="A41" t="s">
        <v>97</v>
      </c>
      <c r="B41" t="s">
        <v>14</v>
      </c>
      <c r="C41">
        <v>12</v>
      </c>
      <c r="D41">
        <v>0</v>
      </c>
      <c r="G41">
        <v>-3.9999999999999855E-2</v>
      </c>
      <c r="K41">
        <v>-6.1999999999999889E-2</v>
      </c>
      <c r="L41">
        <v>-7.3999999999999913E-2</v>
      </c>
      <c r="U41">
        <v>-9.7999999999999976E-2</v>
      </c>
      <c r="V41">
        <v>9.7999999999999976E-2</v>
      </c>
      <c r="W41">
        <f t="shared" si="0"/>
        <v>-9.7999999999999976E-2</v>
      </c>
      <c r="X41"/>
      <c r="Y41"/>
      <c r="Z41"/>
      <c r="AA41"/>
      <c r="AB41"/>
      <c r="AC41" t="s">
        <v>16</v>
      </c>
    </row>
    <row r="42" spans="1:29" x14ac:dyDescent="0.2">
      <c r="A42" t="s">
        <v>97</v>
      </c>
      <c r="B42" t="s">
        <v>14</v>
      </c>
      <c r="C42">
        <v>16</v>
      </c>
      <c r="D42">
        <v>0</v>
      </c>
      <c r="G42">
        <v>1.2999999999999829E-2</v>
      </c>
      <c r="K42">
        <v>-2.4000000000000056E-2</v>
      </c>
      <c r="L42">
        <v>-6.5500000000000114E-2</v>
      </c>
      <c r="U42">
        <v>-0.02</v>
      </c>
      <c r="V42">
        <v>7.8499999999999945E-2</v>
      </c>
      <c r="W42">
        <f t="shared" si="0"/>
        <v>-0.02</v>
      </c>
      <c r="X42"/>
      <c r="Y42"/>
      <c r="Z42"/>
      <c r="AA42"/>
      <c r="AB42"/>
      <c r="AC42" t="s">
        <v>16</v>
      </c>
    </row>
    <row r="43" spans="1:29" s="18" customFormat="1" x14ac:dyDescent="0.2">
      <c r="A43" t="s">
        <v>97</v>
      </c>
      <c r="B43" s="17" t="s">
        <v>14</v>
      </c>
      <c r="C43" s="17" t="s">
        <v>46</v>
      </c>
      <c r="D43" s="17">
        <v>0</v>
      </c>
      <c r="E43" s="17"/>
      <c r="F43" s="17"/>
      <c r="G43" s="17">
        <v>-9.500000000000005E-3</v>
      </c>
      <c r="H43" s="17"/>
      <c r="I43" s="17"/>
      <c r="J43" s="17"/>
      <c r="K43" s="17">
        <v>-1.0166666666666657E-2</v>
      </c>
      <c r="L43" s="17">
        <v>-1.5750000000000052E-2</v>
      </c>
      <c r="M43" s="17"/>
      <c r="N43" s="17"/>
      <c r="O43" s="17"/>
      <c r="P43" s="17"/>
      <c r="Q43" s="17"/>
      <c r="R43" s="17"/>
      <c r="S43" s="17"/>
      <c r="T43" s="17"/>
      <c r="U43" s="17">
        <v>-2.7166666666666686E-2</v>
      </c>
      <c r="V43" s="17">
        <f>AVERAGE(V37:V42)</f>
        <v>6.0750000000000005E-2</v>
      </c>
      <c r="W43" s="17">
        <f t="shared" si="0"/>
        <v>-2.7166666666666686E-2</v>
      </c>
      <c r="X43" s="17">
        <f>SLOPE(D43:U43,D36:U36)</f>
        <v>-4.719068140876739E-5</v>
      </c>
      <c r="Y43" s="17">
        <f>INTERCEPT(D43:U43,D36:U36)</f>
        <v>2.0420051535542756</v>
      </c>
      <c r="Z43" s="17">
        <f>-(((X43*D36)+Y43)-((X43*U36)+Y43))</f>
        <v>-2.5766112049186773E-2</v>
      </c>
      <c r="AA43" s="17">
        <f>(Z43/(U36-D36))*365</f>
        <v>-1.722459871419995E-2</v>
      </c>
      <c r="AB43" s="17"/>
    </row>
    <row r="44" spans="1:29" x14ac:dyDescent="0.2">
      <c r="A44" t="s">
        <v>97</v>
      </c>
      <c r="B44" s="19" t="s">
        <v>14</v>
      </c>
      <c r="C44" s="9" t="s">
        <v>47</v>
      </c>
      <c r="D44" s="19"/>
      <c r="E44" s="19"/>
      <c r="F44" s="19"/>
      <c r="G44" s="19">
        <v>-0.126</v>
      </c>
      <c r="H44" s="19"/>
      <c r="I44" s="19"/>
      <c r="J44" s="19"/>
      <c r="K44" s="19">
        <v>-0.63533333333333342</v>
      </c>
      <c r="L44" s="19">
        <v>-0.65191666666666659</v>
      </c>
      <c r="M44" s="19"/>
      <c r="N44" s="19"/>
      <c r="O44" s="19"/>
      <c r="P44" s="19"/>
      <c r="Q44" s="19"/>
      <c r="R44" s="19"/>
      <c r="S44" s="19"/>
      <c r="T44" s="19"/>
      <c r="U44" s="19">
        <v>1.7000000000000015E-2</v>
      </c>
      <c r="V44" s="19">
        <v>0.6689166666666666</v>
      </c>
      <c r="W44" s="8"/>
      <c r="X44" s="8"/>
      <c r="Y44" s="8"/>
      <c r="Z44" s="19"/>
      <c r="AA44" s="19"/>
      <c r="AB44" s="19">
        <f>AVERAGE(G44,K44:L44,U44)</f>
        <v>-0.34906250000000005</v>
      </c>
    </row>
    <row r="45" spans="1:29" x14ac:dyDescent="0.2">
      <c r="B45" s="1"/>
      <c r="C45" s="1"/>
      <c r="D45" s="1"/>
      <c r="E45" s="1"/>
      <c r="F45" s="1"/>
      <c r="G45" s="1"/>
      <c r="H45" s="1"/>
      <c r="I45" s="1"/>
      <c r="J45" s="1"/>
      <c r="K45" s="1"/>
      <c r="L45" s="1"/>
      <c r="M45" s="1"/>
      <c r="N45" s="1"/>
      <c r="O45" s="1"/>
      <c r="P45" s="1"/>
      <c r="Q45" s="1"/>
      <c r="R45" s="1"/>
      <c r="S45" s="1"/>
      <c r="T45" s="1"/>
      <c r="U45" s="1"/>
      <c r="V45" s="1"/>
      <c r="W45"/>
      <c r="X45"/>
      <c r="Y45"/>
      <c r="Z45" s="1"/>
      <c r="AA45" s="1"/>
      <c r="AB45" s="1"/>
    </row>
    <row r="46" spans="1:29" x14ac:dyDescent="0.2">
      <c r="A46" s="1" t="s">
        <v>92</v>
      </c>
      <c r="B46" s="1" t="s">
        <v>0</v>
      </c>
      <c r="C46" s="1" t="s">
        <v>1</v>
      </c>
      <c r="D46" s="16">
        <v>43308</v>
      </c>
      <c r="E46" s="1"/>
      <c r="F46" s="1"/>
      <c r="G46" s="16">
        <v>43416</v>
      </c>
      <c r="H46" s="1"/>
      <c r="I46" s="1"/>
      <c r="J46" s="1"/>
      <c r="K46" s="16">
        <v>43551</v>
      </c>
      <c r="L46" s="16">
        <v>43562</v>
      </c>
      <c r="M46" s="1"/>
      <c r="N46" s="1"/>
      <c r="O46" s="1"/>
      <c r="P46" s="1"/>
      <c r="Q46" s="1"/>
      <c r="R46" s="1"/>
      <c r="S46" s="1"/>
      <c r="T46" s="1"/>
      <c r="U46" s="16">
        <v>43850</v>
      </c>
      <c r="V46" s="3" t="s">
        <v>2</v>
      </c>
      <c r="W46" s="3" t="s">
        <v>30</v>
      </c>
      <c r="X46" s="3" t="s">
        <v>31</v>
      </c>
      <c r="Y46" s="3" t="s">
        <v>32</v>
      </c>
      <c r="Z46" s="3" t="s">
        <v>33</v>
      </c>
      <c r="AA46" s="3" t="s">
        <v>34</v>
      </c>
      <c r="AB46" s="3" t="s">
        <v>35</v>
      </c>
      <c r="AC46" s="1" t="s">
        <v>3</v>
      </c>
    </row>
    <row r="47" spans="1:29" x14ac:dyDescent="0.2">
      <c r="A47" t="s">
        <v>97</v>
      </c>
      <c r="B47" t="s">
        <v>17</v>
      </c>
      <c r="C47">
        <v>1</v>
      </c>
      <c r="D47">
        <v>0</v>
      </c>
      <c r="G47">
        <v>2.5000000000000001E-2</v>
      </c>
      <c r="K47">
        <v>-9.9999999999994321E-4</v>
      </c>
      <c r="L47">
        <v>6.0000000000000851E-3</v>
      </c>
      <c r="U47">
        <v>0.01</v>
      </c>
      <c r="V47">
        <v>2.5999999999999943E-2</v>
      </c>
      <c r="W47">
        <f t="shared" si="0"/>
        <v>0.01</v>
      </c>
      <c r="X47"/>
      <c r="Y47"/>
      <c r="Z47"/>
      <c r="AA47"/>
      <c r="AB47"/>
    </row>
    <row r="48" spans="1:29" x14ac:dyDescent="0.2">
      <c r="A48" t="s">
        <v>97</v>
      </c>
      <c r="B48" t="s">
        <v>17</v>
      </c>
      <c r="C48">
        <v>2</v>
      </c>
      <c r="D48">
        <v>0</v>
      </c>
      <c r="G48">
        <v>6.9999999999998865E-3</v>
      </c>
      <c r="K48">
        <v>-3.2000000000000028E-2</v>
      </c>
      <c r="L48">
        <v>-1.7000000000000029E-2</v>
      </c>
      <c r="U48">
        <v>-4.9000000000000057E-2</v>
      </c>
      <c r="V48">
        <v>5.5999999999999946E-2</v>
      </c>
      <c r="W48">
        <f t="shared" si="0"/>
        <v>-4.9000000000000057E-2</v>
      </c>
      <c r="X48"/>
      <c r="Y48"/>
      <c r="Z48"/>
      <c r="AA48"/>
      <c r="AB48"/>
    </row>
    <row r="49" spans="1:29" x14ac:dyDescent="0.2">
      <c r="A49" t="s">
        <v>97</v>
      </c>
      <c r="B49" t="s">
        <v>17</v>
      </c>
      <c r="C49">
        <v>3</v>
      </c>
      <c r="D49">
        <v>0</v>
      </c>
      <c r="G49">
        <v>0.01</v>
      </c>
      <c r="K49">
        <v>-4.3000000000000115E-2</v>
      </c>
      <c r="L49">
        <v>-2.0499999999999973E-2</v>
      </c>
      <c r="U49">
        <v>1.3999999999999915E-2</v>
      </c>
      <c r="V49">
        <v>5.700000000000003E-2</v>
      </c>
      <c r="W49">
        <f t="shared" si="0"/>
        <v>1.3999999999999915E-2</v>
      </c>
      <c r="X49"/>
      <c r="Y49"/>
      <c r="Z49"/>
      <c r="AA49"/>
      <c r="AB49"/>
      <c r="AC49" t="s">
        <v>18</v>
      </c>
    </row>
    <row r="50" spans="1:29" x14ac:dyDescent="0.2">
      <c r="A50" t="s">
        <v>97</v>
      </c>
      <c r="B50" t="s">
        <v>17</v>
      </c>
      <c r="C50">
        <v>4</v>
      </c>
      <c r="D50">
        <v>0</v>
      </c>
      <c r="G50">
        <v>5.700000000000003E-2</v>
      </c>
      <c r="K50">
        <v>-1.7000000000000029E-2</v>
      </c>
      <c r="L50">
        <v>-1.1499999999999915E-2</v>
      </c>
      <c r="U50">
        <v>9.999999999999858E-3</v>
      </c>
      <c r="V50">
        <v>7.4000000000000052E-2</v>
      </c>
      <c r="W50">
        <f t="shared" si="0"/>
        <v>9.999999999999858E-3</v>
      </c>
      <c r="X50"/>
      <c r="Y50"/>
      <c r="Z50"/>
      <c r="AA50"/>
      <c r="AB50"/>
    </row>
    <row r="51" spans="1:29" x14ac:dyDescent="0.2">
      <c r="A51" t="s">
        <v>97</v>
      </c>
      <c r="B51" t="s">
        <v>17</v>
      </c>
      <c r="C51">
        <v>8</v>
      </c>
      <c r="D51">
        <v>0</v>
      </c>
      <c r="G51">
        <v>1.2000000000000028E-2</v>
      </c>
      <c r="K51">
        <v>-2.0999999999999942E-2</v>
      </c>
      <c r="L51">
        <v>-2.5999999999999943E-2</v>
      </c>
      <c r="U51">
        <v>2.4000000000000056E-2</v>
      </c>
      <c r="V51">
        <v>0.05</v>
      </c>
      <c r="W51">
        <f t="shared" si="0"/>
        <v>2.4000000000000056E-2</v>
      </c>
      <c r="X51"/>
      <c r="Y51"/>
      <c r="Z51"/>
      <c r="AA51"/>
      <c r="AB51"/>
      <c r="AC51" t="s">
        <v>11</v>
      </c>
    </row>
    <row r="52" spans="1:29" x14ac:dyDescent="0.2">
      <c r="A52" t="s">
        <v>97</v>
      </c>
      <c r="B52" t="s">
        <v>17</v>
      </c>
      <c r="C52">
        <v>9</v>
      </c>
      <c r="D52">
        <v>0</v>
      </c>
      <c r="G52">
        <v>9.9999999999980096E-4</v>
      </c>
      <c r="K52">
        <v>-2.0000000000001705E-3</v>
      </c>
      <c r="L52">
        <v>-1.2500000000000143E-2</v>
      </c>
      <c r="U52">
        <v>-2.9000000000000057E-2</v>
      </c>
      <c r="V52">
        <v>2.9999999999999857E-2</v>
      </c>
      <c r="W52">
        <f t="shared" si="0"/>
        <v>-2.9000000000000057E-2</v>
      </c>
      <c r="X52"/>
      <c r="Y52"/>
      <c r="Z52"/>
      <c r="AA52"/>
      <c r="AB52"/>
    </row>
    <row r="53" spans="1:29" x14ac:dyDescent="0.2">
      <c r="A53" t="s">
        <v>97</v>
      </c>
      <c r="B53" t="s">
        <v>17</v>
      </c>
      <c r="C53">
        <v>12</v>
      </c>
      <c r="D53">
        <v>0</v>
      </c>
      <c r="G53">
        <v>-0.02</v>
      </c>
      <c r="K53">
        <v>-1.2000000000000028E-2</v>
      </c>
      <c r="L53">
        <v>-1.4999999999999999E-2</v>
      </c>
      <c r="U53">
        <v>2.5000000000000001E-2</v>
      </c>
      <c r="V53">
        <v>4.4999999999999998E-2</v>
      </c>
      <c r="W53">
        <f t="shared" si="0"/>
        <v>2.5000000000000001E-2</v>
      </c>
      <c r="X53"/>
      <c r="Y53"/>
      <c r="Z53"/>
      <c r="AA53"/>
      <c r="AB53"/>
      <c r="AC53" t="s">
        <v>18</v>
      </c>
    </row>
    <row r="54" spans="1:29" x14ac:dyDescent="0.2">
      <c r="A54" t="s">
        <v>97</v>
      </c>
      <c r="B54" t="s">
        <v>17</v>
      </c>
      <c r="C54">
        <v>14</v>
      </c>
      <c r="D54">
        <v>0</v>
      </c>
      <c r="G54">
        <v>-1.0999999999999944E-2</v>
      </c>
      <c r="K54">
        <v>9.9999999999994321E-4</v>
      </c>
      <c r="L54">
        <v>-1.3499999999999943E-2</v>
      </c>
      <c r="U54">
        <v>2.7999999999999973E-2</v>
      </c>
      <c r="V54">
        <v>4.1499999999999912E-2</v>
      </c>
      <c r="W54">
        <f t="shared" si="0"/>
        <v>2.7999999999999973E-2</v>
      </c>
      <c r="X54"/>
      <c r="Y54"/>
      <c r="Z54"/>
      <c r="AA54"/>
      <c r="AB54"/>
    </row>
    <row r="55" spans="1:29" x14ac:dyDescent="0.2">
      <c r="A55" t="s">
        <v>97</v>
      </c>
      <c r="B55" t="s">
        <v>17</v>
      </c>
      <c r="C55">
        <v>15</v>
      </c>
      <c r="D55">
        <v>0</v>
      </c>
      <c r="G55">
        <v>8.0000000000000418E-3</v>
      </c>
      <c r="K55">
        <v>-1.8999999999999986E-2</v>
      </c>
      <c r="L55">
        <v>-2.3999999999999987E-2</v>
      </c>
      <c r="U55">
        <v>2.000000000000007E-2</v>
      </c>
      <c r="V55">
        <v>4.400000000000006E-2</v>
      </c>
      <c r="W55">
        <f t="shared" si="0"/>
        <v>2.000000000000007E-2</v>
      </c>
      <c r="X55"/>
      <c r="Y55"/>
      <c r="Z55"/>
      <c r="AA55"/>
      <c r="AB55"/>
    </row>
    <row r="56" spans="1:29" x14ac:dyDescent="0.2">
      <c r="A56" t="s">
        <v>97</v>
      </c>
      <c r="B56" t="s">
        <v>17</v>
      </c>
      <c r="C56">
        <v>16</v>
      </c>
      <c r="D56">
        <v>0</v>
      </c>
      <c r="G56">
        <v>1.2999999999999972E-2</v>
      </c>
      <c r="K56">
        <v>-1.2999999999999972E-2</v>
      </c>
      <c r="L56">
        <v>-2.1500000000000057E-2</v>
      </c>
      <c r="U56">
        <v>-3.4000000000000058E-2</v>
      </c>
      <c r="V56">
        <v>4.7000000000000028E-2</v>
      </c>
      <c r="W56">
        <f t="shared" si="0"/>
        <v>-3.4000000000000058E-2</v>
      </c>
      <c r="X56"/>
      <c r="Y56"/>
      <c r="Z56"/>
      <c r="AA56"/>
      <c r="AB56"/>
    </row>
    <row r="57" spans="1:29" s="18" customFormat="1" x14ac:dyDescent="0.2">
      <c r="A57" t="s">
        <v>97</v>
      </c>
      <c r="B57" s="17" t="s">
        <v>17</v>
      </c>
      <c r="C57" s="17" t="s">
        <v>46</v>
      </c>
      <c r="D57" s="17">
        <v>0</v>
      </c>
      <c r="E57" s="17"/>
      <c r="F57" s="17"/>
      <c r="G57" s="17">
        <v>1.0199999999999982E-2</v>
      </c>
      <c r="H57" s="17"/>
      <c r="I57" s="17"/>
      <c r="J57" s="17"/>
      <c r="K57" s="17">
        <v>-1.5900000000000029E-2</v>
      </c>
      <c r="L57" s="17">
        <v>-1.5549999999999991E-2</v>
      </c>
      <c r="M57" s="17"/>
      <c r="N57" s="17"/>
      <c r="O57" s="17"/>
      <c r="P57" s="17"/>
      <c r="Q57" s="17"/>
      <c r="R57" s="17"/>
      <c r="S57" s="17"/>
      <c r="T57" s="17"/>
      <c r="U57" s="17">
        <v>1.8999999999999701E-3</v>
      </c>
      <c r="V57" s="17">
        <f>AVERAGE(V47:V56)</f>
        <v>4.7049999999999981E-2</v>
      </c>
      <c r="W57" s="17">
        <f t="shared" si="0"/>
        <v>1.8999999999999701E-3</v>
      </c>
      <c r="X57" s="17">
        <f>SLOPE(D57:U57,D46:U46)</f>
        <v>-7.4944294127009809E-6</v>
      </c>
      <c r="Y57" s="17">
        <f>INTERCEPT(D57:U57,D46:U46)</f>
        <v>0.32241797111252768</v>
      </c>
      <c r="Z57" s="17">
        <f>-(((X57*D46)+Y57)-((X57*U46)+Y57))</f>
        <v>-4.0619807416839571E-3</v>
      </c>
      <c r="AA57" s="17">
        <f>(Z57/(U46-D46))*365</f>
        <v>-2.7354667356358749E-3</v>
      </c>
      <c r="AB57" s="17"/>
    </row>
    <row r="58" spans="1:29" x14ac:dyDescent="0.2">
      <c r="A58" t="s">
        <v>97</v>
      </c>
      <c r="B58" s="19" t="s">
        <v>17</v>
      </c>
      <c r="C58" s="9" t="s">
        <v>47</v>
      </c>
      <c r="D58" s="19"/>
      <c r="E58" s="19"/>
      <c r="F58" s="19"/>
      <c r="G58" s="19">
        <v>-3.1666666666666669E-2</v>
      </c>
      <c r="H58" s="19"/>
      <c r="I58" s="19"/>
      <c r="J58" s="19"/>
      <c r="K58" s="19">
        <v>-0.99866666666666704</v>
      </c>
      <c r="L58" s="19">
        <v>-0.7888333333333335</v>
      </c>
      <c r="M58" s="19"/>
      <c r="N58" s="19"/>
      <c r="O58" s="19"/>
      <c r="P58" s="19"/>
      <c r="Q58" s="19"/>
      <c r="R58" s="19"/>
      <c r="S58" s="19"/>
      <c r="T58" s="19"/>
      <c r="U58" s="19">
        <v>8.9999999999999716E-3</v>
      </c>
      <c r="V58" s="19">
        <v>1.0076666666666669</v>
      </c>
      <c r="W58" s="8"/>
      <c r="X58" s="8"/>
      <c r="Y58" s="8"/>
      <c r="Z58" s="19"/>
      <c r="AA58" s="19"/>
      <c r="AB58" s="19">
        <f>AVERAGE(G58,K58:L58,U58)</f>
        <v>-0.45254166666666684</v>
      </c>
      <c r="AC58" t="s">
        <v>19</v>
      </c>
    </row>
    <row r="59" spans="1:29" x14ac:dyDescent="0.2">
      <c r="B59" s="1"/>
      <c r="C59" s="1"/>
      <c r="D59" s="1"/>
      <c r="E59" s="1"/>
      <c r="F59" s="1"/>
      <c r="G59" s="1"/>
      <c r="H59" s="1"/>
      <c r="I59" s="1"/>
      <c r="J59" s="1"/>
      <c r="K59" s="1"/>
      <c r="L59" s="1"/>
      <c r="M59" s="1"/>
      <c r="N59" s="1"/>
      <c r="O59" s="1"/>
      <c r="P59" s="1"/>
      <c r="Q59" s="1"/>
      <c r="R59" s="1"/>
      <c r="S59" s="1"/>
      <c r="T59" s="1"/>
      <c r="U59" s="1"/>
      <c r="V59" s="1"/>
      <c r="W59"/>
      <c r="X59"/>
      <c r="Y59"/>
      <c r="Z59" s="1"/>
      <c r="AA59" s="1"/>
      <c r="AB59" s="1"/>
    </row>
    <row r="60" spans="1:29" x14ac:dyDescent="0.2">
      <c r="A60" s="1" t="s">
        <v>92</v>
      </c>
      <c r="B60" s="1" t="s">
        <v>0</v>
      </c>
      <c r="C60" s="1" t="s">
        <v>1</v>
      </c>
      <c r="D60" s="16">
        <v>43308</v>
      </c>
      <c r="E60" s="1"/>
      <c r="F60" s="1"/>
      <c r="G60" s="16">
        <v>43416</v>
      </c>
      <c r="H60" s="1"/>
      <c r="I60" s="1"/>
      <c r="J60" s="1"/>
      <c r="K60" s="16">
        <v>43551</v>
      </c>
      <c r="L60" s="16">
        <v>43562</v>
      </c>
      <c r="M60" s="1"/>
      <c r="N60" s="1"/>
      <c r="O60" s="1"/>
      <c r="P60" s="1"/>
      <c r="Q60" s="1"/>
      <c r="R60" s="1"/>
      <c r="S60" s="1"/>
      <c r="T60" s="1"/>
      <c r="U60" s="16">
        <v>43850</v>
      </c>
      <c r="V60" s="3" t="s">
        <v>2</v>
      </c>
      <c r="W60" s="3" t="s">
        <v>30</v>
      </c>
      <c r="X60" s="3" t="s">
        <v>31</v>
      </c>
      <c r="Y60" s="3" t="s">
        <v>32</v>
      </c>
      <c r="Z60" s="3" t="s">
        <v>33</v>
      </c>
      <c r="AA60" s="3" t="s">
        <v>34</v>
      </c>
      <c r="AB60" s="3" t="s">
        <v>35</v>
      </c>
      <c r="AC60" s="1" t="s">
        <v>3</v>
      </c>
    </row>
    <row r="61" spans="1:29" x14ac:dyDescent="0.2">
      <c r="A61" t="s">
        <v>97</v>
      </c>
      <c r="B61" t="s">
        <v>20</v>
      </c>
      <c r="C61">
        <v>11</v>
      </c>
      <c r="D61">
        <v>0</v>
      </c>
      <c r="G61">
        <v>1.2999999999999972E-2</v>
      </c>
      <c r="K61">
        <v>-2.9999999999999714E-3</v>
      </c>
      <c r="L61">
        <v>2.0000000000000282E-3</v>
      </c>
      <c r="U61">
        <v>0.01</v>
      </c>
      <c r="V61">
        <v>1.5999999999999945E-2</v>
      </c>
      <c r="W61">
        <f t="shared" si="0"/>
        <v>0.01</v>
      </c>
      <c r="X61"/>
      <c r="Y61"/>
      <c r="Z61"/>
      <c r="AA61"/>
      <c r="AB61"/>
    </row>
    <row r="62" spans="1:29" x14ac:dyDescent="0.2">
      <c r="A62" t="s">
        <v>97</v>
      </c>
      <c r="B62" t="s">
        <v>20</v>
      </c>
      <c r="C62">
        <v>12</v>
      </c>
      <c r="D62">
        <v>0</v>
      </c>
      <c r="G62">
        <v>6.9999999999998865E-3</v>
      </c>
      <c r="K62">
        <v>-3.0000000000001137E-3</v>
      </c>
      <c r="L62">
        <v>0</v>
      </c>
      <c r="U62">
        <v>-4.0000000000000565E-3</v>
      </c>
      <c r="V62">
        <v>1.0999999999999944E-2</v>
      </c>
      <c r="W62">
        <f t="shared" si="0"/>
        <v>-4.0000000000000565E-3</v>
      </c>
      <c r="X62"/>
      <c r="Y62"/>
      <c r="Z62"/>
      <c r="AA62"/>
      <c r="AB62"/>
    </row>
    <row r="63" spans="1:29" x14ac:dyDescent="0.2">
      <c r="A63" t="s">
        <v>97</v>
      </c>
      <c r="B63" t="s">
        <v>20</v>
      </c>
      <c r="C63">
        <v>13</v>
      </c>
      <c r="D63">
        <v>0</v>
      </c>
      <c r="G63">
        <v>-7.0000000000000288E-3</v>
      </c>
      <c r="K63">
        <v>-1.9000000000000059E-2</v>
      </c>
      <c r="L63">
        <v>-1.8500000000000086E-2</v>
      </c>
      <c r="U63">
        <v>-1.2999999999999972E-2</v>
      </c>
      <c r="V63">
        <v>1.9000000000000059E-2</v>
      </c>
      <c r="W63">
        <f t="shared" si="0"/>
        <v>-1.2999999999999972E-2</v>
      </c>
      <c r="X63"/>
      <c r="Y63"/>
      <c r="Z63"/>
      <c r="AA63"/>
      <c r="AB63"/>
      <c r="AC63" t="s">
        <v>18</v>
      </c>
    </row>
    <row r="64" spans="1:29" x14ac:dyDescent="0.2">
      <c r="A64" t="s">
        <v>97</v>
      </c>
      <c r="B64" t="s">
        <v>20</v>
      </c>
      <c r="C64">
        <v>15</v>
      </c>
      <c r="D64">
        <v>0</v>
      </c>
      <c r="G64">
        <v>-4.0000000000000565E-3</v>
      </c>
      <c r="K64">
        <v>-1.5999999999999945E-2</v>
      </c>
      <c r="L64">
        <v>-0.01</v>
      </c>
      <c r="U64">
        <v>-1.5999999999999945E-2</v>
      </c>
      <c r="V64">
        <v>1.5999999999999945E-2</v>
      </c>
      <c r="W64">
        <f t="shared" si="0"/>
        <v>-1.5999999999999945E-2</v>
      </c>
      <c r="X64"/>
      <c r="Y64"/>
      <c r="Z64"/>
      <c r="AA64"/>
      <c r="AB64"/>
    </row>
    <row r="65" spans="1:29" s="18" customFormat="1" x14ac:dyDescent="0.2">
      <c r="A65" t="s">
        <v>97</v>
      </c>
      <c r="B65" s="17" t="s">
        <v>20</v>
      </c>
      <c r="C65" s="17" t="s">
        <v>46</v>
      </c>
      <c r="D65" s="17">
        <v>0</v>
      </c>
      <c r="E65" s="17"/>
      <c r="F65" s="17"/>
      <c r="G65" s="17">
        <v>2.249999999999943E-3</v>
      </c>
      <c r="H65" s="17"/>
      <c r="I65" s="17"/>
      <c r="J65" s="17"/>
      <c r="K65" s="17">
        <v>-1.0250000000000021E-2</v>
      </c>
      <c r="L65" s="17">
        <v>-6.6250000000000146E-3</v>
      </c>
      <c r="M65" s="17"/>
      <c r="N65" s="17"/>
      <c r="O65" s="17"/>
      <c r="P65" s="17"/>
      <c r="Q65" s="17"/>
      <c r="R65" s="17"/>
      <c r="S65" s="17"/>
      <c r="T65" s="17"/>
      <c r="U65" s="17">
        <v>-5.749999999999993E-3</v>
      </c>
      <c r="V65" s="17">
        <v>1.5499999999999972E-2</v>
      </c>
      <c r="W65" s="17">
        <f t="shared" si="0"/>
        <v>-5.749999999999993E-3</v>
      </c>
      <c r="X65" s="17">
        <f>SLOPE(D65:U65,D60:U60)</f>
        <v>-1.4306130298689532E-5</v>
      </c>
      <c r="Y65" s="17">
        <f>INTERCEPT(D65:U65,D60:U60)</f>
        <v>0.61877671726616557</v>
      </c>
      <c r="Z65" s="17">
        <f>-(((X65*D60)+Y65)-((X65*U60)+Y65))</f>
        <v>-7.7539226218896751E-3</v>
      </c>
      <c r="AA65" s="17">
        <f>(Z65/(U60-D60))*365</f>
        <v>-5.2217375590216447E-3</v>
      </c>
      <c r="AB65" s="17"/>
    </row>
    <row r="66" spans="1:29" x14ac:dyDescent="0.2">
      <c r="A66" t="s">
        <v>97</v>
      </c>
      <c r="B66" s="19" t="s">
        <v>20</v>
      </c>
      <c r="C66" s="9" t="s">
        <v>47</v>
      </c>
      <c r="D66" s="19"/>
      <c r="E66" s="19"/>
      <c r="F66" s="19"/>
      <c r="G66" s="19">
        <v>-9.8000000000000004E-2</v>
      </c>
      <c r="H66" s="19"/>
      <c r="I66" s="19"/>
      <c r="J66" s="19"/>
      <c r="K66" s="19">
        <v>-0.752</v>
      </c>
      <c r="L66" s="19">
        <v>-0.71399999999999997</v>
      </c>
      <c r="M66" s="19"/>
      <c r="N66" s="19"/>
      <c r="O66" s="19"/>
      <c r="P66" s="19"/>
      <c r="Q66" s="19"/>
      <c r="R66" s="19"/>
      <c r="S66" s="19"/>
      <c r="T66" s="19"/>
      <c r="U66" s="19">
        <v>-0.10899999999999999</v>
      </c>
      <c r="V66" s="19">
        <v>0.65400000000000003</v>
      </c>
      <c r="W66" s="8"/>
      <c r="X66" s="8"/>
      <c r="Y66" s="8"/>
      <c r="Z66" s="19"/>
      <c r="AA66" s="19"/>
      <c r="AB66" s="19">
        <f>AVERAGE(G66,K66:L66,U66)</f>
        <v>-0.41825000000000001</v>
      </c>
    </row>
    <row r="67" spans="1:29" x14ac:dyDescent="0.2">
      <c r="B67" s="1"/>
      <c r="C67" s="1"/>
      <c r="D67" s="1"/>
      <c r="E67" s="1"/>
      <c r="F67" s="1"/>
      <c r="G67" s="1"/>
      <c r="H67" s="1"/>
      <c r="I67" s="1"/>
      <c r="J67" s="1"/>
      <c r="K67" s="1"/>
      <c r="L67" s="1"/>
      <c r="M67" s="1"/>
      <c r="N67" s="1"/>
      <c r="O67" s="1"/>
      <c r="P67" s="1"/>
      <c r="Q67" s="1"/>
      <c r="R67" s="1"/>
      <c r="S67" s="1"/>
      <c r="T67" s="1"/>
      <c r="U67" s="1"/>
      <c r="V67" s="1"/>
      <c r="W67"/>
      <c r="X67"/>
      <c r="Y67"/>
      <c r="Z67" s="1"/>
      <c r="AA67" s="1"/>
      <c r="AB67" s="1"/>
    </row>
    <row r="68" spans="1:29" x14ac:dyDescent="0.2">
      <c r="A68" s="1" t="s">
        <v>92</v>
      </c>
      <c r="B68" s="1" t="s">
        <v>0</v>
      </c>
      <c r="C68" s="1" t="s">
        <v>1</v>
      </c>
      <c r="D68" s="16">
        <v>43325</v>
      </c>
      <c r="E68" s="1"/>
      <c r="F68" s="1"/>
      <c r="G68" s="16">
        <v>43411</v>
      </c>
      <c r="H68" s="1"/>
      <c r="I68" s="1"/>
      <c r="J68" s="1"/>
      <c r="K68" s="16">
        <v>43551</v>
      </c>
      <c r="L68" s="16">
        <v>43562</v>
      </c>
      <c r="M68" s="1"/>
      <c r="N68" s="1"/>
      <c r="O68" s="1"/>
      <c r="P68" s="1"/>
      <c r="Q68" s="1"/>
      <c r="R68" s="1"/>
      <c r="S68" s="1"/>
      <c r="T68" s="1"/>
      <c r="U68" s="16">
        <v>43850</v>
      </c>
      <c r="V68" s="3" t="s">
        <v>2</v>
      </c>
      <c r="W68" s="3" t="s">
        <v>30</v>
      </c>
      <c r="X68" s="3" t="s">
        <v>31</v>
      </c>
      <c r="Y68" s="3" t="s">
        <v>32</v>
      </c>
      <c r="Z68" s="3" t="s">
        <v>33</v>
      </c>
      <c r="AA68" s="3" t="s">
        <v>34</v>
      </c>
      <c r="AB68" s="3" t="s">
        <v>35</v>
      </c>
      <c r="AC68" s="1" t="s">
        <v>3</v>
      </c>
    </row>
    <row r="69" spans="1:29" x14ac:dyDescent="0.2">
      <c r="A69" t="s">
        <v>94</v>
      </c>
      <c r="B69" t="s">
        <v>21</v>
      </c>
      <c r="C69">
        <v>9</v>
      </c>
      <c r="D69">
        <v>0</v>
      </c>
      <c r="G69">
        <v>-9.0000000000000566E-3</v>
      </c>
      <c r="K69">
        <v>-1.8999999999999986E-2</v>
      </c>
      <c r="L69">
        <v>-1.8999999999999986E-2</v>
      </c>
      <c r="U69">
        <v>-5.0000000000000001E-3</v>
      </c>
      <c r="V69">
        <v>1.8999999999999986E-2</v>
      </c>
      <c r="W69">
        <f t="shared" si="0"/>
        <v>-5.0000000000000001E-3</v>
      </c>
      <c r="X69"/>
      <c r="Y69"/>
      <c r="Z69"/>
      <c r="AA69"/>
      <c r="AB69"/>
    </row>
    <row r="70" spans="1:29" s="18" customFormat="1" x14ac:dyDescent="0.2">
      <c r="A70" t="s">
        <v>94</v>
      </c>
      <c r="B70" s="17" t="s">
        <v>21</v>
      </c>
      <c r="C70" s="17" t="s">
        <v>46</v>
      </c>
      <c r="D70" s="17">
        <v>0</v>
      </c>
      <c r="E70" s="17"/>
      <c r="F70" s="17"/>
      <c r="G70" s="17">
        <v>-9.0000000000000566E-3</v>
      </c>
      <c r="H70" s="17"/>
      <c r="I70" s="17"/>
      <c r="J70" s="17"/>
      <c r="K70" s="17">
        <v>-1.8999999999999986E-2</v>
      </c>
      <c r="L70" s="17">
        <v>-1.8999999999999986E-2</v>
      </c>
      <c r="M70" s="17"/>
      <c r="N70" s="17"/>
      <c r="O70" s="17"/>
      <c r="P70" s="17"/>
      <c r="Q70" s="17"/>
      <c r="R70" s="17"/>
      <c r="S70" s="17"/>
      <c r="T70" s="17"/>
      <c r="U70" s="17">
        <v>-5.0000000000000001E-3</v>
      </c>
      <c r="V70" s="17">
        <v>1.8999999999999986E-2</v>
      </c>
      <c r="W70" s="17">
        <f t="shared" si="0"/>
        <v>-5.0000000000000001E-3</v>
      </c>
      <c r="X70" s="17">
        <f>SLOPE(D70:U70,D68:U68)</f>
        <v>-6.4322545227572477E-6</v>
      </c>
      <c r="Y70" s="17">
        <f>INTERCEPT(D70:U70,D68:U68)</f>
        <v>0.269659075469946</v>
      </c>
      <c r="Z70" s="17">
        <f>-(((X70*D68)+Y70)-((X70*U68)+Y70))</f>
        <v>-3.3769336244475756E-3</v>
      </c>
      <c r="AA70" s="17">
        <f>(Z70/(U68-D68))*365</f>
        <v>-2.3477729008064096E-3</v>
      </c>
      <c r="AB70" s="17"/>
    </row>
    <row r="71" spans="1:29" x14ac:dyDescent="0.2">
      <c r="A71" t="s">
        <v>94</v>
      </c>
      <c r="B71" s="19" t="s">
        <v>21</v>
      </c>
      <c r="C71" s="9" t="s">
        <v>47</v>
      </c>
      <c r="D71" s="19"/>
      <c r="E71" s="19"/>
      <c r="F71" s="19"/>
      <c r="G71" s="19">
        <v>0.10499999999999998</v>
      </c>
      <c r="H71" s="19"/>
      <c r="I71" s="19"/>
      <c r="J71" s="19"/>
      <c r="K71" s="19">
        <v>-1.1399999999999999</v>
      </c>
      <c r="L71" s="19">
        <v>3.0000000000000027E-3</v>
      </c>
      <c r="M71" s="19"/>
      <c r="N71" s="19"/>
      <c r="O71" s="19"/>
      <c r="P71" s="19"/>
      <c r="Q71" s="19"/>
      <c r="R71" s="19"/>
      <c r="S71" s="19"/>
      <c r="T71" s="19"/>
      <c r="U71" s="19">
        <v>0.08</v>
      </c>
      <c r="V71" s="19">
        <v>1.2449999999999999</v>
      </c>
      <c r="W71" s="8"/>
      <c r="X71" s="8"/>
      <c r="Y71" s="8"/>
      <c r="Z71" s="19"/>
      <c r="AA71" s="19"/>
      <c r="AB71" s="19">
        <f>AVERAGE(G71,K71:L71,U71)</f>
        <v>-0.23800000000000002</v>
      </c>
    </row>
    <row r="72" spans="1:29" x14ac:dyDescent="0.2">
      <c r="B72" s="1"/>
      <c r="C72" s="1"/>
      <c r="D72" s="1"/>
      <c r="E72" s="1"/>
      <c r="F72" s="1"/>
      <c r="G72" s="1"/>
      <c r="H72" s="1"/>
      <c r="I72" s="1"/>
      <c r="J72" s="1"/>
      <c r="K72" s="1"/>
      <c r="L72" s="1"/>
      <c r="M72" s="1"/>
      <c r="N72" s="1"/>
      <c r="O72" s="1"/>
      <c r="P72" s="1"/>
      <c r="Q72" s="1"/>
      <c r="R72" s="1"/>
      <c r="S72" s="1"/>
      <c r="T72" s="1"/>
      <c r="U72" s="1"/>
      <c r="V72" s="1"/>
      <c r="W72"/>
      <c r="X72"/>
      <c r="Y72"/>
      <c r="Z72" s="1"/>
      <c r="AA72" s="1"/>
      <c r="AB72" s="1"/>
    </row>
    <row r="73" spans="1:29" x14ac:dyDescent="0.2">
      <c r="A73" s="1" t="s">
        <v>92</v>
      </c>
      <c r="B73" s="1" t="s">
        <v>0</v>
      </c>
      <c r="C73" s="1" t="s">
        <v>1</v>
      </c>
      <c r="D73" s="16">
        <v>43325</v>
      </c>
      <c r="E73" s="1"/>
      <c r="F73" s="1"/>
      <c r="G73" s="16">
        <v>43411</v>
      </c>
      <c r="H73" s="1"/>
      <c r="I73" s="1"/>
      <c r="J73" s="1"/>
      <c r="K73" s="16">
        <v>43551</v>
      </c>
      <c r="L73" s="16">
        <v>43562</v>
      </c>
      <c r="M73" s="1"/>
      <c r="N73" s="1"/>
      <c r="O73" s="1"/>
      <c r="P73" s="1"/>
      <c r="Q73" s="1"/>
      <c r="R73" s="1"/>
      <c r="S73" s="1"/>
      <c r="T73" s="1"/>
      <c r="U73" s="16">
        <v>43850</v>
      </c>
      <c r="V73" s="3" t="s">
        <v>2</v>
      </c>
      <c r="W73" s="3" t="s">
        <v>30</v>
      </c>
      <c r="X73" s="3" t="s">
        <v>31</v>
      </c>
      <c r="Y73" s="3" t="s">
        <v>32</v>
      </c>
      <c r="Z73" s="3" t="s">
        <v>33</v>
      </c>
      <c r="AA73" s="3" t="s">
        <v>34</v>
      </c>
      <c r="AB73" s="3" t="s">
        <v>35</v>
      </c>
      <c r="AC73" s="1" t="s">
        <v>3</v>
      </c>
    </row>
    <row r="74" spans="1:29" x14ac:dyDescent="0.2">
      <c r="A74" t="s">
        <v>94</v>
      </c>
      <c r="B74" t="s">
        <v>22</v>
      </c>
      <c r="C74">
        <v>1</v>
      </c>
      <c r="D74">
        <v>0</v>
      </c>
      <c r="G74">
        <v>1.0000000000000141E-3</v>
      </c>
      <c r="K74">
        <v>-2.000000000000007E-2</v>
      </c>
      <c r="L74">
        <v>-1.249999999999993E-2</v>
      </c>
      <c r="U74">
        <v>-1.8999999999999986E-2</v>
      </c>
      <c r="V74">
        <v>2.1000000000000085E-2</v>
      </c>
      <c r="W74">
        <f t="shared" si="0"/>
        <v>-1.8999999999999986E-2</v>
      </c>
      <c r="X74"/>
      <c r="Y74"/>
      <c r="Z74"/>
      <c r="AA74"/>
      <c r="AB74"/>
    </row>
    <row r="75" spans="1:29" x14ac:dyDescent="0.2">
      <c r="A75" t="s">
        <v>94</v>
      </c>
      <c r="B75" t="s">
        <v>22</v>
      </c>
      <c r="C75">
        <v>2</v>
      </c>
      <c r="D75">
        <v>0</v>
      </c>
      <c r="G75">
        <v>-4.999999999999929E-3</v>
      </c>
      <c r="K75">
        <v>-4.5999999999999944E-2</v>
      </c>
      <c r="L75">
        <v>-3.4499999999999885E-2</v>
      </c>
      <c r="U75">
        <v>-7.5999999999999873E-2</v>
      </c>
      <c r="V75">
        <v>7.5999999999999873E-2</v>
      </c>
      <c r="W75">
        <f t="shared" si="0"/>
        <v>-7.5999999999999873E-2</v>
      </c>
      <c r="X75"/>
      <c r="Y75"/>
      <c r="Z75"/>
      <c r="AA75"/>
      <c r="AB75"/>
      <c r="AC75" t="s">
        <v>23</v>
      </c>
    </row>
    <row r="76" spans="1:29" x14ac:dyDescent="0.2">
      <c r="A76" t="s">
        <v>94</v>
      </c>
      <c r="B76" t="s">
        <v>22</v>
      </c>
      <c r="C76">
        <v>6</v>
      </c>
      <c r="D76">
        <v>0</v>
      </c>
      <c r="G76">
        <v>1.9000000000000059E-2</v>
      </c>
      <c r="K76">
        <v>-1.7999999999999829E-2</v>
      </c>
      <c r="L76">
        <v>-5.9999999999999429E-3</v>
      </c>
      <c r="U76">
        <v>-3.8999999999999917E-2</v>
      </c>
      <c r="V76">
        <v>5.7999999999999968E-2</v>
      </c>
      <c r="W76">
        <f t="shared" si="0"/>
        <v>-3.8999999999999917E-2</v>
      </c>
      <c r="X76"/>
      <c r="Y76"/>
      <c r="Z76"/>
      <c r="AA76"/>
      <c r="AB76"/>
    </row>
    <row r="77" spans="1:29" x14ac:dyDescent="0.2">
      <c r="A77" t="s">
        <v>94</v>
      </c>
      <c r="B77" t="s">
        <v>22</v>
      </c>
      <c r="C77">
        <v>8</v>
      </c>
      <c r="D77">
        <v>0</v>
      </c>
      <c r="G77">
        <v>2.3999999999999914E-2</v>
      </c>
      <c r="K77">
        <v>3.7999999999999833E-2</v>
      </c>
      <c r="L77">
        <v>5.3499999999999798E-2</v>
      </c>
      <c r="U77">
        <v>-7.0000000000000288E-3</v>
      </c>
      <c r="V77">
        <v>6.0499999999999832E-2</v>
      </c>
      <c r="W77">
        <f t="shared" si="0"/>
        <v>-7.0000000000000288E-3</v>
      </c>
      <c r="X77"/>
      <c r="Y77"/>
      <c r="Z77"/>
      <c r="AA77"/>
      <c r="AB77"/>
    </row>
    <row r="78" spans="1:29" x14ac:dyDescent="0.2">
      <c r="A78" t="s">
        <v>94</v>
      </c>
      <c r="B78" t="s">
        <v>22</v>
      </c>
      <c r="C78">
        <v>9</v>
      </c>
      <c r="D78">
        <v>0</v>
      </c>
      <c r="G78">
        <v>-1.7999999999999971E-2</v>
      </c>
      <c r="K78">
        <v>-6.2000000000000027E-2</v>
      </c>
      <c r="L78">
        <v>-4.400000000000006E-2</v>
      </c>
      <c r="U78">
        <v>-5.700000000000003E-2</v>
      </c>
      <c r="V78">
        <v>6.2000000000000027E-2</v>
      </c>
      <c r="W78">
        <f t="shared" si="0"/>
        <v>-5.700000000000003E-2</v>
      </c>
      <c r="X78"/>
      <c r="Y78"/>
      <c r="Z78"/>
      <c r="AA78"/>
      <c r="AB78"/>
    </row>
    <row r="79" spans="1:29" x14ac:dyDescent="0.2">
      <c r="A79" t="s">
        <v>94</v>
      </c>
      <c r="B79" t="s">
        <v>22</v>
      </c>
      <c r="C79">
        <v>10</v>
      </c>
      <c r="D79">
        <v>0</v>
      </c>
      <c r="G79">
        <v>9.9999999999994321E-4</v>
      </c>
      <c r="K79">
        <v>-1.7000000000000171E-2</v>
      </c>
      <c r="L79">
        <v>7.4999999999998575E-3</v>
      </c>
      <c r="U79">
        <v>3.9999999999999151E-3</v>
      </c>
      <c r="V79">
        <v>2.4500000000000029E-2</v>
      </c>
      <c r="W79">
        <f t="shared" si="0"/>
        <v>3.9999999999999151E-3</v>
      </c>
      <c r="X79"/>
      <c r="Y79"/>
      <c r="Z79"/>
      <c r="AA79"/>
      <c r="AB79"/>
    </row>
    <row r="80" spans="1:29" x14ac:dyDescent="0.2">
      <c r="A80" t="s">
        <v>94</v>
      </c>
      <c r="B80" t="s">
        <v>22</v>
      </c>
      <c r="C80">
        <v>13</v>
      </c>
      <c r="D80">
        <v>0</v>
      </c>
      <c r="G80">
        <v>-2.3999999999999914E-2</v>
      </c>
      <c r="K80">
        <v>-1.2000000000000028E-2</v>
      </c>
      <c r="L80">
        <v>-1.2000000000000028E-2</v>
      </c>
      <c r="U80">
        <v>-6.0000000000000851E-3</v>
      </c>
      <c r="V80">
        <v>2.3999999999999914E-2</v>
      </c>
      <c r="W80">
        <f t="shared" si="0"/>
        <v>-6.0000000000000851E-3</v>
      </c>
      <c r="X80"/>
      <c r="Y80"/>
      <c r="Z80"/>
      <c r="AA80"/>
      <c r="AB80"/>
    </row>
    <row r="81" spans="1:29" x14ac:dyDescent="0.2">
      <c r="A81" t="s">
        <v>94</v>
      </c>
      <c r="B81" t="s">
        <v>22</v>
      </c>
      <c r="C81">
        <v>15</v>
      </c>
      <c r="D81">
        <v>0</v>
      </c>
      <c r="G81">
        <v>2.3000000000000041E-2</v>
      </c>
      <c r="K81">
        <v>-8.9999999999999143E-3</v>
      </c>
      <c r="L81">
        <v>-5.4999999999998297E-3</v>
      </c>
      <c r="U81">
        <v>3.5000000000000073E-2</v>
      </c>
      <c r="V81">
        <v>4.3999999999999984E-2</v>
      </c>
      <c r="W81">
        <f t="shared" si="0"/>
        <v>3.5000000000000073E-2</v>
      </c>
      <c r="X81"/>
      <c r="Y81"/>
      <c r="Z81"/>
      <c r="AA81"/>
      <c r="AB81"/>
    </row>
    <row r="82" spans="1:29" s="18" customFormat="1" x14ac:dyDescent="0.2">
      <c r="A82" t="s">
        <v>94</v>
      </c>
      <c r="B82" s="17" t="s">
        <v>22</v>
      </c>
      <c r="C82" s="17" t="s">
        <v>46</v>
      </c>
      <c r="D82" s="17">
        <v>0</v>
      </c>
      <c r="E82" s="17"/>
      <c r="F82" s="17"/>
      <c r="G82" s="17">
        <v>2.6250000000000197E-3</v>
      </c>
      <c r="H82" s="17"/>
      <c r="I82" s="17"/>
      <c r="J82" s="17"/>
      <c r="K82" s="17">
        <v>-1.825000000000002E-2</v>
      </c>
      <c r="L82" s="17">
        <v>-6.6875000000000016E-3</v>
      </c>
      <c r="M82" s="17"/>
      <c r="N82" s="17"/>
      <c r="O82" s="17"/>
      <c r="P82" s="17"/>
      <c r="Q82" s="17"/>
      <c r="R82" s="17"/>
      <c r="S82" s="17"/>
      <c r="T82" s="17"/>
      <c r="U82" s="17">
        <v>-2.0624999999999991E-2</v>
      </c>
      <c r="V82" s="17">
        <v>4.6249999999999965E-2</v>
      </c>
      <c r="W82" s="17">
        <f t="shared" si="0"/>
        <v>-2.0624999999999991E-2</v>
      </c>
      <c r="X82" s="17">
        <f>SLOPE(D82:U82,D73:U73)</f>
        <v>-4.442440283560652E-5</v>
      </c>
      <c r="Y82" s="17">
        <f>INTERCEPT(D82:U82,D73:U73)</f>
        <v>1.9256421145817408</v>
      </c>
      <c r="Z82" s="17">
        <f>-(((X82*D73)+Y82)-((X82*U73)+Y82))</f>
        <v>-2.3322811488693418E-2</v>
      </c>
      <c r="AA82" s="17">
        <f>(Z82/(U73-D73))*365</f>
        <v>-1.6214907034996378E-2</v>
      </c>
      <c r="AB82" s="17"/>
    </row>
    <row r="83" spans="1:29" x14ac:dyDescent="0.2">
      <c r="A83" t="s">
        <v>94</v>
      </c>
      <c r="B83" s="19" t="s">
        <v>22</v>
      </c>
      <c r="C83" s="9" t="s">
        <v>47</v>
      </c>
      <c r="D83" s="19"/>
      <c r="E83" s="19"/>
      <c r="F83" s="19"/>
      <c r="G83" s="19">
        <v>0</v>
      </c>
      <c r="H83" s="19"/>
      <c r="I83" s="19"/>
      <c r="J83" s="19"/>
      <c r="K83" s="19">
        <v>-0.17699999999999994</v>
      </c>
      <c r="L83" s="19">
        <v>-2.4499999999999966E-2</v>
      </c>
      <c r="M83" s="19"/>
      <c r="N83" s="19"/>
      <c r="O83" s="19"/>
      <c r="P83" s="19"/>
      <c r="Q83" s="19"/>
      <c r="R83" s="19"/>
      <c r="S83" s="19"/>
      <c r="T83" s="19"/>
      <c r="U83" s="19">
        <v>0.03</v>
      </c>
      <c r="V83" s="19">
        <v>0.20699999999999993</v>
      </c>
      <c r="W83" s="8"/>
      <c r="X83" s="8"/>
      <c r="Y83" s="8"/>
      <c r="Z83" s="19"/>
      <c r="AA83" s="19"/>
      <c r="AB83" s="19">
        <f>AVERAGE(G83,K83:L83,U83)</f>
        <v>-4.2874999999999976E-2</v>
      </c>
    </row>
    <row r="84" spans="1:29" x14ac:dyDescent="0.2">
      <c r="B84" s="1"/>
      <c r="C84" s="1"/>
      <c r="D84" s="1"/>
      <c r="E84" s="1"/>
      <c r="F84" s="1"/>
      <c r="G84" s="1"/>
      <c r="H84" s="1"/>
      <c r="I84" s="1"/>
      <c r="J84" s="1"/>
      <c r="K84" s="1"/>
      <c r="L84" s="1"/>
      <c r="M84" s="1"/>
      <c r="N84" s="1"/>
      <c r="O84" s="1"/>
      <c r="P84" s="1"/>
      <c r="Q84" s="1"/>
      <c r="R84" s="1"/>
      <c r="S84" s="1"/>
      <c r="T84" s="1"/>
      <c r="U84" s="1"/>
      <c r="V84" s="1"/>
      <c r="W84"/>
      <c r="X84"/>
      <c r="Y84"/>
      <c r="Z84" s="1"/>
      <c r="AA84" s="1"/>
      <c r="AB84" s="1"/>
    </row>
    <row r="85" spans="1:29" x14ac:dyDescent="0.2">
      <c r="A85" s="1" t="s">
        <v>92</v>
      </c>
      <c r="B85" s="1" t="s">
        <v>0</v>
      </c>
      <c r="C85" s="1" t="s">
        <v>1</v>
      </c>
      <c r="D85" s="16">
        <v>43326</v>
      </c>
      <c r="E85" s="1"/>
      <c r="F85" s="1"/>
      <c r="G85" s="16">
        <v>43419</v>
      </c>
      <c r="H85" s="1"/>
      <c r="I85" s="1"/>
      <c r="J85" s="1"/>
      <c r="K85" s="16">
        <v>43547</v>
      </c>
      <c r="L85" s="16">
        <v>43557</v>
      </c>
      <c r="M85" s="1"/>
      <c r="N85" s="1"/>
      <c r="O85" s="1"/>
      <c r="P85" s="1"/>
      <c r="Q85" s="1"/>
      <c r="R85" s="1"/>
      <c r="S85" s="1"/>
      <c r="T85" s="1"/>
      <c r="U85" s="16">
        <v>43852</v>
      </c>
      <c r="V85" s="3" t="s">
        <v>2</v>
      </c>
      <c r="W85" s="3" t="s">
        <v>30</v>
      </c>
      <c r="X85" s="3" t="s">
        <v>31</v>
      </c>
      <c r="Y85" s="3" t="s">
        <v>32</v>
      </c>
      <c r="Z85" s="3" t="s">
        <v>33</v>
      </c>
      <c r="AA85" s="3" t="s">
        <v>34</v>
      </c>
      <c r="AB85" s="3" t="s">
        <v>35</v>
      </c>
      <c r="AC85" s="1" t="s">
        <v>3</v>
      </c>
    </row>
    <row r="86" spans="1:29" x14ac:dyDescent="0.2">
      <c r="A86" t="s">
        <v>95</v>
      </c>
      <c r="B86" t="s">
        <v>24</v>
      </c>
      <c r="C86">
        <v>6</v>
      </c>
      <c r="D86">
        <v>0</v>
      </c>
      <c r="G86">
        <v>6.9000000000000061E-2</v>
      </c>
      <c r="K86">
        <v>6.9500000000000034E-2</v>
      </c>
      <c r="L86">
        <v>7.5000000000000136E-2</v>
      </c>
      <c r="U86">
        <v>0.10100000000000009</v>
      </c>
      <c r="V86">
        <v>0.10100000000000009</v>
      </c>
      <c r="W86">
        <f t="shared" ref="W86:W127" si="1">U86</f>
        <v>0.10100000000000009</v>
      </c>
      <c r="X86"/>
      <c r="Y86"/>
      <c r="Z86"/>
      <c r="AA86"/>
      <c r="AB86"/>
    </row>
    <row r="87" spans="1:29" x14ac:dyDescent="0.2">
      <c r="A87" t="s">
        <v>95</v>
      </c>
      <c r="B87" t="s">
        <v>24</v>
      </c>
      <c r="C87">
        <v>8</v>
      </c>
      <c r="D87">
        <v>0</v>
      </c>
      <c r="G87">
        <v>8.5000000000000006E-2</v>
      </c>
      <c r="K87">
        <v>8.7000000000000022E-2</v>
      </c>
      <c r="L87">
        <v>8.7999999999999967E-2</v>
      </c>
      <c r="U87">
        <v>0.10599999999999994</v>
      </c>
      <c r="V87">
        <v>0.10599999999999994</v>
      </c>
      <c r="W87">
        <f t="shared" si="1"/>
        <v>0.10599999999999994</v>
      </c>
      <c r="X87"/>
      <c r="Y87"/>
      <c r="Z87"/>
      <c r="AA87"/>
      <c r="AB87"/>
    </row>
    <row r="88" spans="1:29" x14ac:dyDescent="0.2">
      <c r="A88" t="s">
        <v>95</v>
      </c>
      <c r="B88" t="s">
        <v>24</v>
      </c>
      <c r="C88">
        <v>11</v>
      </c>
      <c r="D88">
        <v>0</v>
      </c>
      <c r="G88">
        <v>7.0999999999999938E-2</v>
      </c>
      <c r="K88">
        <v>7.8499999999999945E-2</v>
      </c>
      <c r="L88">
        <v>7.4999999999999997E-2</v>
      </c>
      <c r="U88">
        <v>0.10200000000000004</v>
      </c>
      <c r="V88">
        <v>0.10200000000000004</v>
      </c>
      <c r="W88">
        <f t="shared" si="1"/>
        <v>0.10200000000000004</v>
      </c>
      <c r="X88"/>
      <c r="Y88"/>
      <c r="Z88"/>
      <c r="AA88"/>
      <c r="AB88"/>
    </row>
    <row r="89" spans="1:29" x14ac:dyDescent="0.2">
      <c r="A89" t="s">
        <v>95</v>
      </c>
      <c r="B89" t="s">
        <v>24</v>
      </c>
      <c r="C89">
        <v>13</v>
      </c>
      <c r="D89">
        <v>0</v>
      </c>
      <c r="G89">
        <v>4.5999999999999944E-2</v>
      </c>
      <c r="K89">
        <v>4.6999999999999958E-2</v>
      </c>
      <c r="L89">
        <v>4.8999999999999988E-2</v>
      </c>
      <c r="U89">
        <v>7.7999999999999972E-2</v>
      </c>
      <c r="V89">
        <v>7.7999999999999972E-2</v>
      </c>
      <c r="W89">
        <f t="shared" si="1"/>
        <v>7.7999999999999972E-2</v>
      </c>
      <c r="X89"/>
      <c r="Y89"/>
      <c r="Z89"/>
      <c r="AA89"/>
      <c r="AB89"/>
    </row>
    <row r="90" spans="1:29" s="18" customFormat="1" x14ac:dyDescent="0.2">
      <c r="A90" t="s">
        <v>95</v>
      </c>
      <c r="B90" s="17" t="s">
        <v>24</v>
      </c>
      <c r="C90" s="17" t="s">
        <v>46</v>
      </c>
      <c r="D90" s="17">
        <v>0</v>
      </c>
      <c r="E90" s="17"/>
      <c r="F90" s="17"/>
      <c r="G90" s="17">
        <v>6.7749999999999991E-2</v>
      </c>
      <c r="H90" s="17"/>
      <c r="I90" s="17"/>
      <c r="J90" s="17"/>
      <c r="K90" s="17">
        <v>7.0499999999999993E-2</v>
      </c>
      <c r="L90" s="17">
        <v>7.1750000000000022E-2</v>
      </c>
      <c r="M90" s="17"/>
      <c r="N90" s="17"/>
      <c r="O90" s="17"/>
      <c r="P90" s="17"/>
      <c r="Q90" s="17"/>
      <c r="R90" s="17"/>
      <c r="S90" s="17"/>
      <c r="T90" s="17"/>
      <c r="U90" s="17">
        <v>9.6750000000000003E-2</v>
      </c>
      <c r="V90" s="17">
        <v>9.6750000000000003E-2</v>
      </c>
      <c r="W90" s="17">
        <f t="shared" si="1"/>
        <v>9.6750000000000003E-2</v>
      </c>
      <c r="X90" s="17">
        <f>SLOPE(D90:U90,D85:U85)</f>
        <v>1.4950878706390387E-4</v>
      </c>
      <c r="Y90" s="17">
        <f>INTERCEPT(D90:U90,D85:U85)</f>
        <v>-6.4482924905197869</v>
      </c>
      <c r="Z90" s="17">
        <f>-(((X90*D85)+Y90)-((X90*U85)+Y90))</f>
        <v>7.864162199561342E-2</v>
      </c>
      <c r="AA90" s="17">
        <f>(Z90/(U85-D85))*365</f>
        <v>5.4570707278324901E-2</v>
      </c>
      <c r="AB90" s="17"/>
    </row>
    <row r="91" spans="1:29" x14ac:dyDescent="0.2">
      <c r="A91" t="s">
        <v>95</v>
      </c>
      <c r="B91" s="19" t="s">
        <v>24</v>
      </c>
      <c r="C91" s="9" t="s">
        <v>47</v>
      </c>
      <c r="D91" s="19"/>
      <c r="E91" s="19"/>
      <c r="F91" s="19"/>
      <c r="G91" s="19">
        <v>-0.54</v>
      </c>
      <c r="H91" s="19"/>
      <c r="I91" s="19"/>
      <c r="J91" s="19"/>
      <c r="K91" s="19">
        <v>-0.63749999999999996</v>
      </c>
      <c r="L91" s="19">
        <v>-0.65199999999999991</v>
      </c>
      <c r="M91" s="19"/>
      <c r="N91" s="19"/>
      <c r="O91" s="19"/>
      <c r="P91" s="19"/>
      <c r="Q91" s="19"/>
      <c r="R91" s="19"/>
      <c r="S91" s="19"/>
      <c r="T91" s="19"/>
      <c r="U91" s="19">
        <v>-0.21799999999999997</v>
      </c>
      <c r="V91" s="19">
        <v>0.43399999999999994</v>
      </c>
      <c r="W91" s="8"/>
      <c r="X91" s="8"/>
      <c r="Y91" s="8"/>
      <c r="Z91" s="19"/>
      <c r="AA91" s="19"/>
      <c r="AB91" s="19">
        <f>AVERAGE(G91,K91:L91,U91)</f>
        <v>-0.51187499999999997</v>
      </c>
    </row>
    <row r="92" spans="1:29" x14ac:dyDescent="0.2">
      <c r="B92" s="1"/>
      <c r="C92" s="1"/>
      <c r="D92" s="1"/>
      <c r="E92" s="1"/>
      <c r="F92" s="1"/>
      <c r="G92" s="1"/>
      <c r="H92" s="1"/>
      <c r="I92" s="1"/>
      <c r="J92" s="1"/>
      <c r="K92" s="1"/>
      <c r="L92" s="1"/>
      <c r="M92" s="1"/>
      <c r="N92" s="1"/>
      <c r="O92" s="1"/>
      <c r="P92" s="1"/>
      <c r="Q92" s="1"/>
      <c r="R92" s="1"/>
      <c r="S92" s="1"/>
      <c r="T92" s="1"/>
      <c r="U92" s="1"/>
      <c r="V92" s="1"/>
      <c r="W92"/>
      <c r="X92"/>
      <c r="Y92"/>
      <c r="Z92" s="1"/>
      <c r="AA92" s="1"/>
      <c r="AB92" s="1"/>
    </row>
    <row r="93" spans="1:29" x14ac:dyDescent="0.2">
      <c r="A93" s="1" t="s">
        <v>92</v>
      </c>
      <c r="B93" s="1" t="s">
        <v>0</v>
      </c>
      <c r="C93" s="1" t="s">
        <v>1</v>
      </c>
      <c r="D93" s="16">
        <v>43326</v>
      </c>
      <c r="E93" s="1"/>
      <c r="F93" s="1"/>
      <c r="G93" s="16">
        <v>43419</v>
      </c>
      <c r="H93" s="1"/>
      <c r="I93" s="1"/>
      <c r="J93" s="1"/>
      <c r="K93" s="16">
        <v>43547</v>
      </c>
      <c r="L93" s="16">
        <v>43557</v>
      </c>
      <c r="M93" s="1"/>
      <c r="N93" s="1"/>
      <c r="O93" s="1"/>
      <c r="P93" s="1"/>
      <c r="Q93" s="1"/>
      <c r="R93" s="1"/>
      <c r="S93" s="1"/>
      <c r="T93" s="1"/>
      <c r="U93" s="16">
        <v>43852</v>
      </c>
      <c r="V93" s="3" t="s">
        <v>2</v>
      </c>
      <c r="W93" s="3" t="s">
        <v>30</v>
      </c>
      <c r="X93" s="3" t="s">
        <v>31</v>
      </c>
      <c r="Y93" s="3" t="s">
        <v>32</v>
      </c>
      <c r="Z93" s="3" t="s">
        <v>33</v>
      </c>
      <c r="AA93" s="3" t="s">
        <v>34</v>
      </c>
      <c r="AB93" s="3" t="s">
        <v>35</v>
      </c>
      <c r="AC93" s="1" t="s">
        <v>3</v>
      </c>
    </row>
    <row r="94" spans="1:29" x14ac:dyDescent="0.2">
      <c r="A94" t="s">
        <v>95</v>
      </c>
      <c r="B94" t="s">
        <v>25</v>
      </c>
      <c r="C94">
        <v>1</v>
      </c>
      <c r="D94">
        <v>0</v>
      </c>
      <c r="G94">
        <v>6.4000000000000057E-2</v>
      </c>
      <c r="K94">
        <v>7.7000000000000027E-2</v>
      </c>
      <c r="L94">
        <v>7.7000000000000027E-2</v>
      </c>
      <c r="U94">
        <v>0.10599999999999994</v>
      </c>
      <c r="V94">
        <v>0.10599999999999994</v>
      </c>
      <c r="W94">
        <f t="shared" si="1"/>
        <v>0.10599999999999994</v>
      </c>
      <c r="X94"/>
      <c r="Y94"/>
      <c r="Z94"/>
      <c r="AA94"/>
      <c r="AB94"/>
      <c r="AC94" s="1" t="s">
        <v>39</v>
      </c>
    </row>
    <row r="95" spans="1:29" x14ac:dyDescent="0.2">
      <c r="A95" t="s">
        <v>95</v>
      </c>
      <c r="B95" t="s">
        <v>25</v>
      </c>
      <c r="C95">
        <v>2</v>
      </c>
      <c r="D95">
        <v>0</v>
      </c>
      <c r="G95">
        <v>8.2999999999999977E-2</v>
      </c>
      <c r="K95">
        <v>9.3999999999999986E-2</v>
      </c>
      <c r="L95">
        <v>9.3000000000000041E-2</v>
      </c>
      <c r="U95">
        <v>0.13100000000000009</v>
      </c>
      <c r="V95">
        <v>0.13100000000000009</v>
      </c>
      <c r="W95">
        <f t="shared" si="1"/>
        <v>0.13100000000000009</v>
      </c>
      <c r="X95"/>
      <c r="Y95"/>
      <c r="Z95"/>
      <c r="AA95"/>
      <c r="AB95"/>
    </row>
    <row r="96" spans="1:29" x14ac:dyDescent="0.2">
      <c r="A96" t="s">
        <v>95</v>
      </c>
      <c r="B96" t="s">
        <v>25</v>
      </c>
      <c r="C96">
        <v>9</v>
      </c>
      <c r="D96">
        <v>0</v>
      </c>
      <c r="G96">
        <v>2.3999999999999914E-2</v>
      </c>
      <c r="K96">
        <v>3.7499999999999999E-2</v>
      </c>
      <c r="L96">
        <v>5.700000000000003E-2</v>
      </c>
      <c r="U96">
        <v>5.5E-2</v>
      </c>
      <c r="V96">
        <v>5.700000000000003E-2</v>
      </c>
      <c r="W96">
        <f t="shared" si="1"/>
        <v>5.5E-2</v>
      </c>
      <c r="X96"/>
      <c r="Y96"/>
      <c r="Z96"/>
      <c r="AA96"/>
      <c r="AB96"/>
      <c r="AC96" t="s">
        <v>18</v>
      </c>
    </row>
    <row r="97" spans="1:29" x14ac:dyDescent="0.2">
      <c r="A97" t="s">
        <v>95</v>
      </c>
      <c r="B97" t="s">
        <v>25</v>
      </c>
      <c r="C97">
        <v>11</v>
      </c>
      <c r="D97">
        <v>0</v>
      </c>
      <c r="G97">
        <v>8.2000000000000101E-2</v>
      </c>
      <c r="K97">
        <v>8.3000000000000115E-2</v>
      </c>
      <c r="L97">
        <v>6.4000000000000126E-2</v>
      </c>
      <c r="U97">
        <v>9.900000000000006E-2</v>
      </c>
      <c r="V97">
        <v>9.900000000000006E-2</v>
      </c>
      <c r="W97">
        <f t="shared" si="1"/>
        <v>9.900000000000006E-2</v>
      </c>
      <c r="X97"/>
      <c r="Y97"/>
      <c r="Z97"/>
      <c r="AA97"/>
      <c r="AB97"/>
    </row>
    <row r="98" spans="1:29" x14ac:dyDescent="0.2">
      <c r="A98" t="s">
        <v>95</v>
      </c>
      <c r="B98" t="s">
        <v>25</v>
      </c>
      <c r="C98">
        <v>13</v>
      </c>
      <c r="D98">
        <v>0</v>
      </c>
      <c r="G98">
        <v>5.8000000000000114E-2</v>
      </c>
      <c r="K98">
        <v>5.3500000000000082E-2</v>
      </c>
      <c r="L98">
        <v>5.4000000000000055E-2</v>
      </c>
      <c r="U98">
        <v>0.08</v>
      </c>
      <c r="V98">
        <v>0.08</v>
      </c>
      <c r="W98">
        <f t="shared" si="1"/>
        <v>0.08</v>
      </c>
      <c r="X98"/>
      <c r="Y98"/>
      <c r="Z98"/>
      <c r="AA98"/>
      <c r="AB98"/>
    </row>
    <row r="99" spans="1:29" x14ac:dyDescent="0.2">
      <c r="A99" t="s">
        <v>95</v>
      </c>
      <c r="B99" t="s">
        <v>25</v>
      </c>
      <c r="C99">
        <v>15</v>
      </c>
      <c r="D99">
        <v>0</v>
      </c>
      <c r="G99">
        <v>8.5999999999999868E-2</v>
      </c>
      <c r="K99">
        <v>8.0499999999999974E-2</v>
      </c>
      <c r="L99">
        <v>7.9999999999999932E-2</v>
      </c>
      <c r="U99">
        <v>0.11699999999999995</v>
      </c>
      <c r="V99">
        <v>0.11699999999999995</v>
      </c>
      <c r="W99">
        <f t="shared" si="1"/>
        <v>0.11699999999999995</v>
      </c>
      <c r="X99"/>
      <c r="Y99"/>
      <c r="Z99"/>
      <c r="AA99"/>
      <c r="AB99"/>
      <c r="AC99" t="s">
        <v>18</v>
      </c>
    </row>
    <row r="100" spans="1:29" x14ac:dyDescent="0.2">
      <c r="A100" t="s">
        <v>95</v>
      </c>
      <c r="B100" t="s">
        <v>25</v>
      </c>
      <c r="C100">
        <v>16</v>
      </c>
      <c r="D100">
        <v>0</v>
      </c>
      <c r="G100">
        <v>6.1999999999999889E-2</v>
      </c>
      <c r="K100">
        <v>6.9499999999999951E-2</v>
      </c>
      <c r="L100">
        <v>6.7999999999999894E-2</v>
      </c>
      <c r="U100">
        <v>0.10699999999999996</v>
      </c>
      <c r="V100">
        <v>0.10699999999999996</v>
      </c>
      <c r="W100">
        <f t="shared" si="1"/>
        <v>0.10699999999999996</v>
      </c>
      <c r="X100"/>
      <c r="Y100"/>
      <c r="Z100"/>
      <c r="AA100"/>
      <c r="AB100"/>
    </row>
    <row r="101" spans="1:29" s="18" customFormat="1" x14ac:dyDescent="0.2">
      <c r="A101" t="s">
        <v>95</v>
      </c>
      <c r="B101" s="17" t="s">
        <v>25</v>
      </c>
      <c r="C101" s="17" t="s">
        <v>46</v>
      </c>
      <c r="D101" s="17">
        <v>0</v>
      </c>
      <c r="E101" s="17"/>
      <c r="F101" s="17"/>
      <c r="G101" s="17">
        <v>6.5571428571428558E-2</v>
      </c>
      <c r="H101" s="17"/>
      <c r="I101" s="17"/>
      <c r="J101" s="17"/>
      <c r="K101" s="17">
        <v>7.0714285714285743E-2</v>
      </c>
      <c r="L101" s="17">
        <v>7.0428571428571451E-2</v>
      </c>
      <c r="M101" s="17"/>
      <c r="N101" s="17"/>
      <c r="O101" s="17"/>
      <c r="P101" s="17"/>
      <c r="Q101" s="17"/>
      <c r="R101" s="17"/>
      <c r="S101" s="17"/>
      <c r="T101" s="17"/>
      <c r="U101" s="17">
        <v>9.9285714285714283E-2</v>
      </c>
      <c r="V101" s="17">
        <v>9.9571428571428575E-2</v>
      </c>
      <c r="W101" s="17">
        <f t="shared" si="1"/>
        <v>9.9285714285714283E-2</v>
      </c>
      <c r="X101" s="17">
        <f>SLOPE(D101:U101,D93:U93)</f>
        <v>1.5604776733877133E-4</v>
      </c>
      <c r="Y101" s="17">
        <f>INTERCEPT(D101:U101,D93:U93)</f>
        <v>-6.7331509994835708</v>
      </c>
      <c r="Z101" s="17">
        <f>-(((X101*D93)+Y101)-((X101*U93)+Y101))</f>
        <v>8.2081125620193873E-2</v>
      </c>
      <c r="AA101" s="17">
        <f>(Z101/(U93-D93))*365</f>
        <v>5.6957435078651648E-2</v>
      </c>
      <c r="AB101" s="17"/>
    </row>
    <row r="102" spans="1:29" x14ac:dyDescent="0.2">
      <c r="A102" t="s">
        <v>95</v>
      </c>
      <c r="B102" s="19" t="s">
        <v>25</v>
      </c>
      <c r="C102" s="9" t="s">
        <v>47</v>
      </c>
      <c r="D102" s="19"/>
      <c r="E102" s="19"/>
      <c r="F102" s="19"/>
      <c r="G102" s="19">
        <v>-0.55100000000000005</v>
      </c>
      <c r="H102" s="19"/>
      <c r="I102" s="19"/>
      <c r="J102" s="19"/>
      <c r="K102" s="19">
        <v>-0.78900000000000003</v>
      </c>
      <c r="L102" s="19">
        <v>-0.57899999999999996</v>
      </c>
      <c r="M102" s="19"/>
      <c r="N102" s="19"/>
      <c r="O102" s="19"/>
      <c r="P102" s="19"/>
      <c r="Q102" s="19"/>
      <c r="R102" s="19"/>
      <c r="S102" s="19"/>
      <c r="T102" s="19"/>
      <c r="U102" s="19">
        <v>-0.21999999999999997</v>
      </c>
      <c r="V102" s="19">
        <v>0.56900000000000006</v>
      </c>
      <c r="W102" s="8"/>
      <c r="X102" s="8"/>
      <c r="Y102" s="8"/>
      <c r="Z102" s="19"/>
      <c r="AA102" s="19"/>
      <c r="AB102" s="19">
        <f>AVERAGE(G102,K102:L102,U102)</f>
        <v>-0.53475000000000006</v>
      </c>
    </row>
    <row r="103" spans="1:29" x14ac:dyDescent="0.2">
      <c r="B103" s="1"/>
      <c r="C103" s="1"/>
      <c r="D103" s="1"/>
      <c r="E103" s="1"/>
      <c r="F103" s="1"/>
      <c r="G103" s="1"/>
      <c r="H103" s="1"/>
      <c r="I103" s="1"/>
      <c r="J103" s="1"/>
      <c r="K103" s="1"/>
      <c r="L103" s="1"/>
      <c r="M103" s="1"/>
      <c r="N103" s="1"/>
      <c r="O103" s="1"/>
      <c r="P103" s="1"/>
      <c r="Q103" s="1"/>
      <c r="R103" s="1"/>
      <c r="S103" s="1"/>
      <c r="T103" s="1"/>
      <c r="U103" s="1"/>
      <c r="V103" s="1"/>
      <c r="W103"/>
      <c r="X103"/>
      <c r="Y103"/>
      <c r="Z103" s="1"/>
      <c r="AA103" s="1"/>
      <c r="AB103" s="1"/>
    </row>
    <row r="104" spans="1:29" x14ac:dyDescent="0.2">
      <c r="A104" s="1" t="s">
        <v>92</v>
      </c>
      <c r="B104" s="1" t="s">
        <v>0</v>
      </c>
      <c r="C104" s="1" t="s">
        <v>1</v>
      </c>
      <c r="D104" s="16">
        <v>43326</v>
      </c>
      <c r="E104" s="1"/>
      <c r="F104" s="1"/>
      <c r="G104" s="16">
        <v>43419</v>
      </c>
      <c r="H104" s="1"/>
      <c r="I104" s="1"/>
      <c r="J104" s="1"/>
      <c r="K104" s="16">
        <v>43547</v>
      </c>
      <c r="L104" s="16">
        <v>43557</v>
      </c>
      <c r="M104" s="1"/>
      <c r="N104" s="1"/>
      <c r="O104" s="1"/>
      <c r="P104" s="1"/>
      <c r="Q104" s="1"/>
      <c r="R104" s="1"/>
      <c r="S104" s="1"/>
      <c r="T104" s="1"/>
      <c r="U104" s="16">
        <v>43852</v>
      </c>
      <c r="V104" s="3" t="s">
        <v>2</v>
      </c>
      <c r="W104" s="3" t="s">
        <v>30</v>
      </c>
      <c r="X104" s="3" t="s">
        <v>31</v>
      </c>
      <c r="Y104" s="3" t="s">
        <v>32</v>
      </c>
      <c r="Z104" s="3" t="s">
        <v>33</v>
      </c>
      <c r="AA104" s="3" t="s">
        <v>34</v>
      </c>
      <c r="AB104" s="3" t="s">
        <v>35</v>
      </c>
      <c r="AC104" s="1" t="s">
        <v>3</v>
      </c>
    </row>
    <row r="105" spans="1:29" x14ac:dyDescent="0.2">
      <c r="A105" t="s">
        <v>95</v>
      </c>
      <c r="B105" t="s">
        <v>26</v>
      </c>
      <c r="C105">
        <v>2</v>
      </c>
      <c r="D105">
        <v>0</v>
      </c>
      <c r="G105">
        <v>8.8999999999999982E-2</v>
      </c>
      <c r="K105">
        <v>8.7999999999999967E-2</v>
      </c>
      <c r="L105">
        <v>8.6999999999999952E-2</v>
      </c>
      <c r="U105">
        <v>0.12299999999999997</v>
      </c>
      <c r="V105">
        <v>0.12299999999999997</v>
      </c>
      <c r="W105">
        <f t="shared" si="1"/>
        <v>0.12299999999999997</v>
      </c>
      <c r="X105"/>
      <c r="Y105"/>
      <c r="Z105"/>
      <c r="AA105"/>
      <c r="AB105"/>
    </row>
    <row r="106" spans="1:29" x14ac:dyDescent="0.2">
      <c r="A106" t="s">
        <v>95</v>
      </c>
      <c r="B106" t="s">
        <v>26</v>
      </c>
      <c r="C106">
        <v>5</v>
      </c>
      <c r="D106">
        <v>0</v>
      </c>
      <c r="G106">
        <v>7.5000000000000067E-2</v>
      </c>
      <c r="K106">
        <v>8.2999999999999977E-2</v>
      </c>
      <c r="L106">
        <v>8.2000000000000031E-2</v>
      </c>
      <c r="U106">
        <v>9.7999999999999976E-2</v>
      </c>
      <c r="V106">
        <v>9.7999999999999976E-2</v>
      </c>
      <c r="W106">
        <f t="shared" si="1"/>
        <v>9.7999999999999976E-2</v>
      </c>
      <c r="X106"/>
      <c r="Y106"/>
      <c r="Z106"/>
      <c r="AA106"/>
      <c r="AB106"/>
    </row>
    <row r="107" spans="1:29" x14ac:dyDescent="0.2">
      <c r="A107" t="s">
        <v>95</v>
      </c>
      <c r="B107" t="s">
        <v>26</v>
      </c>
      <c r="C107">
        <v>6</v>
      </c>
      <c r="D107">
        <v>0</v>
      </c>
      <c r="G107">
        <v>6.8999999999999992E-2</v>
      </c>
      <c r="K107">
        <v>7.6999999999999957E-2</v>
      </c>
      <c r="L107">
        <v>7.3999999999999982E-2</v>
      </c>
      <c r="U107">
        <v>8.7999999999999967E-2</v>
      </c>
      <c r="V107">
        <v>8.7999999999999967E-2</v>
      </c>
      <c r="W107">
        <f t="shared" si="1"/>
        <v>8.7999999999999967E-2</v>
      </c>
      <c r="X107"/>
      <c r="Y107"/>
      <c r="Z107"/>
      <c r="AA107"/>
      <c r="AB107"/>
    </row>
    <row r="108" spans="1:29" x14ac:dyDescent="0.2">
      <c r="A108" t="s">
        <v>95</v>
      </c>
      <c r="B108" t="s">
        <v>26</v>
      </c>
      <c r="C108">
        <v>8</v>
      </c>
      <c r="D108">
        <v>0</v>
      </c>
      <c r="G108">
        <v>7.6999999999999957E-2</v>
      </c>
      <c r="K108">
        <v>7.8499999999999945E-2</v>
      </c>
      <c r="L108">
        <v>7.4999999999999997E-2</v>
      </c>
      <c r="U108">
        <v>0.11200000000000003</v>
      </c>
      <c r="V108">
        <v>0.11200000000000003</v>
      </c>
      <c r="W108">
        <f t="shared" si="1"/>
        <v>0.11200000000000003</v>
      </c>
      <c r="X108"/>
      <c r="Y108"/>
      <c r="Z108"/>
      <c r="AA108"/>
      <c r="AB108"/>
    </row>
    <row r="109" spans="1:29" x14ac:dyDescent="0.2">
      <c r="A109" t="s">
        <v>95</v>
      </c>
      <c r="B109" t="s">
        <v>26</v>
      </c>
      <c r="C109">
        <v>9</v>
      </c>
      <c r="D109">
        <v>0</v>
      </c>
      <c r="G109">
        <v>7.8000000000000042E-2</v>
      </c>
      <c r="K109">
        <v>8.2000000000000031E-2</v>
      </c>
      <c r="L109">
        <v>8.2000000000000031E-2</v>
      </c>
      <c r="U109">
        <v>0.10300000000000004</v>
      </c>
      <c r="V109">
        <v>0.10300000000000004</v>
      </c>
      <c r="W109">
        <f t="shared" si="1"/>
        <v>0.10300000000000004</v>
      </c>
      <c r="X109"/>
      <c r="Y109"/>
      <c r="Z109"/>
      <c r="AA109"/>
      <c r="AB109"/>
    </row>
    <row r="110" spans="1:29" x14ac:dyDescent="0.2">
      <c r="A110" t="s">
        <v>95</v>
      </c>
      <c r="B110" t="s">
        <v>26</v>
      </c>
      <c r="C110">
        <v>14</v>
      </c>
      <c r="D110">
        <v>0</v>
      </c>
      <c r="G110">
        <v>8.4999999999999923E-2</v>
      </c>
      <c r="K110">
        <v>8.6999999999999952E-2</v>
      </c>
      <c r="L110">
        <v>8.0999999999999947E-2</v>
      </c>
      <c r="U110">
        <v>0.10899999999999999</v>
      </c>
      <c r="V110">
        <v>0.10899999999999999</v>
      </c>
      <c r="W110">
        <f t="shared" si="1"/>
        <v>0.10899999999999999</v>
      </c>
      <c r="X110"/>
      <c r="Y110"/>
      <c r="Z110"/>
      <c r="AA110"/>
      <c r="AB110"/>
      <c r="AC110" t="s">
        <v>16</v>
      </c>
    </row>
    <row r="111" spans="1:29" s="18" customFormat="1" x14ac:dyDescent="0.2">
      <c r="A111" t="s">
        <v>95</v>
      </c>
      <c r="B111" s="17" t="s">
        <v>26</v>
      </c>
      <c r="C111" s="17" t="s">
        <v>46</v>
      </c>
      <c r="D111" s="17">
        <v>0</v>
      </c>
      <c r="E111" s="17"/>
      <c r="F111" s="17"/>
      <c r="G111" s="17">
        <v>7.8833333333333325E-2</v>
      </c>
      <c r="H111" s="17"/>
      <c r="I111" s="17"/>
      <c r="J111" s="17"/>
      <c r="K111" s="17">
        <v>8.2583333333333314E-2</v>
      </c>
      <c r="L111" s="17">
        <v>8.0166666666666664E-2</v>
      </c>
      <c r="M111" s="17"/>
      <c r="N111" s="17"/>
      <c r="O111" s="17"/>
      <c r="P111" s="17"/>
      <c r="Q111" s="17"/>
      <c r="R111" s="17"/>
      <c r="S111" s="17"/>
      <c r="T111" s="17"/>
      <c r="U111" s="17">
        <v>0.10549999999999998</v>
      </c>
      <c r="V111" s="17">
        <v>0.10549999999999998</v>
      </c>
      <c r="W111" s="17">
        <f t="shared" si="1"/>
        <v>0.10549999999999998</v>
      </c>
      <c r="X111" s="17">
        <f>SLOPE(D111:U111,D104:U104)</f>
        <v>1.5968162335324243E-4</v>
      </c>
      <c r="Y111" s="17">
        <f>INTERCEPT(D111:U111,D104:U104)</f>
        <v>-6.8831531504581793</v>
      </c>
      <c r="Z111" s="17">
        <f>-(((X111*D104)+Y111)-((X111*U104)+Y111))</f>
        <v>8.3992533883805898E-2</v>
      </c>
      <c r="AA111" s="17">
        <f>(Z111/(U104-D104))*365</f>
        <v>5.8283792523933751E-2</v>
      </c>
      <c r="AB111" s="17"/>
    </row>
    <row r="112" spans="1:29" x14ac:dyDescent="0.2">
      <c r="A112" t="s">
        <v>95</v>
      </c>
      <c r="B112" s="19" t="s">
        <v>26</v>
      </c>
      <c r="C112" s="9" t="s">
        <v>47</v>
      </c>
      <c r="D112" s="19"/>
      <c r="E112" s="19"/>
      <c r="F112" s="19"/>
      <c r="G112" s="19">
        <v>-0.60599999999999998</v>
      </c>
      <c r="H112" s="19"/>
      <c r="I112" s="19"/>
      <c r="J112" s="19"/>
      <c r="K112" s="19">
        <v>-1.1000000000000001</v>
      </c>
      <c r="L112" s="19">
        <v>-1.1000000000000001</v>
      </c>
      <c r="M112" s="19"/>
      <c r="N112" s="19"/>
      <c r="O112" s="19"/>
      <c r="P112" s="19"/>
      <c r="Q112" s="19"/>
      <c r="R112" s="19"/>
      <c r="S112" s="19"/>
      <c r="T112" s="19"/>
      <c r="U112" s="19">
        <v>-0.2649999999999999</v>
      </c>
      <c r="V112" s="19">
        <v>0.8350000000000003</v>
      </c>
      <c r="W112" s="8"/>
      <c r="X112" s="8"/>
      <c r="Y112" s="8"/>
      <c r="Z112" s="19"/>
      <c r="AA112" s="19"/>
      <c r="AB112" s="19">
        <f>AVERAGE(G112,K112:L112,U112)</f>
        <v>-0.76774999999999993</v>
      </c>
      <c r="AC112" t="s">
        <v>19</v>
      </c>
    </row>
    <row r="113" spans="1:34" x14ac:dyDescent="0.2">
      <c r="B113" s="1"/>
      <c r="C113" s="1"/>
      <c r="D113" s="1"/>
      <c r="E113" s="1"/>
      <c r="F113" s="1"/>
      <c r="G113" s="1"/>
      <c r="H113" s="1"/>
      <c r="I113" s="1"/>
      <c r="J113" s="1"/>
      <c r="K113" s="1"/>
      <c r="L113" s="1"/>
      <c r="M113" s="1"/>
      <c r="N113" s="1"/>
      <c r="O113" s="1"/>
      <c r="P113" s="1"/>
      <c r="Q113" s="1"/>
      <c r="R113" s="1"/>
      <c r="S113" s="1"/>
      <c r="T113" s="1"/>
      <c r="U113" s="1"/>
      <c r="V113" s="1"/>
      <c r="W113"/>
      <c r="X113"/>
      <c r="Y113"/>
      <c r="Z113" s="1"/>
      <c r="AA113" s="1"/>
      <c r="AB113" s="1"/>
    </row>
    <row r="114" spans="1:34" x14ac:dyDescent="0.2">
      <c r="A114" s="1" t="s">
        <v>92</v>
      </c>
      <c r="B114" s="1" t="s">
        <v>0</v>
      </c>
      <c r="C114" s="1" t="s">
        <v>1</v>
      </c>
      <c r="D114" s="16">
        <v>43326</v>
      </c>
      <c r="E114" s="1"/>
      <c r="F114" s="1"/>
      <c r="G114" s="16">
        <v>43419</v>
      </c>
      <c r="H114" s="1"/>
      <c r="I114" s="1"/>
      <c r="J114" s="1"/>
      <c r="K114" s="16">
        <v>43547</v>
      </c>
      <c r="L114" s="16">
        <v>43557</v>
      </c>
      <c r="M114" s="1"/>
      <c r="N114" s="1"/>
      <c r="O114" s="1"/>
      <c r="P114" s="1"/>
      <c r="Q114" s="1"/>
      <c r="R114" s="1"/>
      <c r="S114" s="1"/>
      <c r="T114" s="1"/>
      <c r="U114" s="16">
        <v>43852</v>
      </c>
      <c r="V114" s="3" t="s">
        <v>2</v>
      </c>
      <c r="W114" s="3" t="s">
        <v>30</v>
      </c>
      <c r="X114" s="3" t="s">
        <v>31</v>
      </c>
      <c r="Y114" s="3" t="s">
        <v>32</v>
      </c>
      <c r="Z114" s="3" t="s">
        <v>33</v>
      </c>
      <c r="AA114" s="3" t="s">
        <v>34</v>
      </c>
      <c r="AB114" s="3" t="s">
        <v>35</v>
      </c>
      <c r="AC114" s="1" t="s">
        <v>3</v>
      </c>
    </row>
    <row r="115" spans="1:34" x14ac:dyDescent="0.2">
      <c r="A115" t="s">
        <v>95</v>
      </c>
      <c r="B115" t="s">
        <v>27</v>
      </c>
      <c r="C115">
        <v>2</v>
      </c>
      <c r="D115">
        <v>0</v>
      </c>
      <c r="G115">
        <v>7.4999999999999997E-2</v>
      </c>
      <c r="K115">
        <v>0.10650000000000005</v>
      </c>
      <c r="L115">
        <v>9.2000000000000026E-2</v>
      </c>
      <c r="U115">
        <v>0.13399999999999998</v>
      </c>
      <c r="V115">
        <v>0.13399999999999998</v>
      </c>
      <c r="W115">
        <f t="shared" si="1"/>
        <v>0.13399999999999998</v>
      </c>
      <c r="X115"/>
      <c r="Y115"/>
      <c r="Z115"/>
      <c r="AA115"/>
      <c r="AB115"/>
    </row>
    <row r="116" spans="1:34" x14ac:dyDescent="0.2">
      <c r="A116" t="s">
        <v>95</v>
      </c>
      <c r="B116" t="s">
        <v>27</v>
      </c>
      <c r="C116">
        <v>4</v>
      </c>
      <c r="D116">
        <v>0</v>
      </c>
      <c r="G116">
        <v>8.1999999999999962E-2</v>
      </c>
      <c r="K116">
        <v>8.6000000000000021E-2</v>
      </c>
      <c r="L116">
        <v>0.08</v>
      </c>
      <c r="U116">
        <v>0.10200000000000004</v>
      </c>
      <c r="V116">
        <v>0.10200000000000004</v>
      </c>
      <c r="W116">
        <f t="shared" si="1"/>
        <v>0.10200000000000004</v>
      </c>
      <c r="X116"/>
      <c r="Y116"/>
      <c r="Z116"/>
      <c r="AA116"/>
      <c r="AB116"/>
    </row>
    <row r="117" spans="1:34" x14ac:dyDescent="0.2">
      <c r="A117" t="s">
        <v>95</v>
      </c>
      <c r="B117" t="s">
        <v>27</v>
      </c>
      <c r="C117">
        <v>8</v>
      </c>
      <c r="D117">
        <v>0</v>
      </c>
      <c r="G117">
        <v>7.3999999999999982E-2</v>
      </c>
      <c r="K117">
        <v>8.3500000000000019E-2</v>
      </c>
      <c r="L117">
        <v>7.1999999999999953E-2</v>
      </c>
      <c r="U117">
        <v>9.3999999999999986E-2</v>
      </c>
      <c r="V117">
        <v>9.3999999999999986E-2</v>
      </c>
      <c r="W117">
        <f t="shared" si="1"/>
        <v>9.3999999999999986E-2</v>
      </c>
      <c r="X117"/>
      <c r="Y117"/>
      <c r="Z117"/>
      <c r="AA117"/>
      <c r="AB117"/>
    </row>
    <row r="118" spans="1:34" s="18" customFormat="1" x14ac:dyDescent="0.2">
      <c r="A118" t="s">
        <v>95</v>
      </c>
      <c r="B118" s="17" t="s">
        <v>27</v>
      </c>
      <c r="C118" s="17" t="s">
        <v>46</v>
      </c>
      <c r="D118" s="17">
        <v>0</v>
      </c>
      <c r="E118" s="17"/>
      <c r="F118" s="17"/>
      <c r="G118" s="17">
        <v>7.6999999999999985E-2</v>
      </c>
      <c r="H118" s="17"/>
      <c r="I118" s="17"/>
      <c r="J118" s="17"/>
      <c r="K118" s="17">
        <v>9.2000000000000026E-2</v>
      </c>
      <c r="L118" s="17">
        <v>8.1333333333333327E-2</v>
      </c>
      <c r="M118" s="17"/>
      <c r="N118" s="17"/>
      <c r="O118" s="17"/>
      <c r="P118" s="17"/>
      <c r="Q118" s="17"/>
      <c r="R118" s="17"/>
      <c r="S118" s="17"/>
      <c r="T118" s="17"/>
      <c r="U118" s="17">
        <v>0.11</v>
      </c>
      <c r="V118" s="17">
        <v>0.11</v>
      </c>
      <c r="W118" s="17">
        <f t="shared" si="1"/>
        <v>0.11</v>
      </c>
      <c r="X118" s="17">
        <f>SLOPE(D118:U118,D114:U114)</f>
        <v>1.7048953065669614E-4</v>
      </c>
      <c r="Y118" s="17">
        <f>INTERCEPT(D118:U118,D114:U114)</f>
        <v>-7.3510815960320146</v>
      </c>
      <c r="Z118" s="17">
        <f>-(((X118*D114)+Y118)-((X118*U114)+Y118))</f>
        <v>8.9677493125422281E-2</v>
      </c>
      <c r="AA118" s="17">
        <f>(Z118/(U114-D114))*365</f>
        <v>6.2228678689694172E-2</v>
      </c>
      <c r="AB118" s="17"/>
    </row>
    <row r="119" spans="1:34" x14ac:dyDescent="0.2">
      <c r="A119" t="s">
        <v>95</v>
      </c>
      <c r="B119" s="19" t="s">
        <v>27</v>
      </c>
      <c r="C119" s="9" t="s">
        <v>47</v>
      </c>
      <c r="D119" s="19"/>
      <c r="E119" s="19"/>
      <c r="F119" s="19"/>
      <c r="G119" s="19">
        <v>-0.82400000000000018</v>
      </c>
      <c r="H119" s="19"/>
      <c r="I119" s="19"/>
      <c r="J119" s="19"/>
      <c r="K119" s="19">
        <v>-1.0649999999999997</v>
      </c>
      <c r="L119" s="19">
        <v>-1.0649999999999997</v>
      </c>
      <c r="M119" s="19"/>
      <c r="N119" s="19"/>
      <c r="O119" s="19"/>
      <c r="P119" s="19"/>
      <c r="Q119" s="19"/>
      <c r="R119" s="19"/>
      <c r="S119" s="19"/>
      <c r="T119" s="19"/>
      <c r="U119" s="19">
        <v>-0.33149999999999996</v>
      </c>
      <c r="V119" s="19">
        <v>0.73349999999999971</v>
      </c>
      <c r="W119" s="8"/>
      <c r="X119" s="8"/>
      <c r="Y119" s="8"/>
      <c r="Z119" s="19"/>
      <c r="AA119" s="19"/>
      <c r="AB119" s="19">
        <f>AVERAGE(G119,K119:L119,U119)</f>
        <v>-0.82137499999999997</v>
      </c>
      <c r="AC119" t="s">
        <v>19</v>
      </c>
    </row>
    <row r="120" spans="1:34" x14ac:dyDescent="0.2">
      <c r="B120" s="1"/>
      <c r="C120" s="1"/>
      <c r="D120" s="1"/>
      <c r="E120" s="1"/>
      <c r="F120" s="1"/>
      <c r="G120" s="1"/>
      <c r="H120" s="1"/>
      <c r="I120" s="1"/>
      <c r="J120" s="1"/>
      <c r="K120" s="1"/>
      <c r="L120" s="1"/>
      <c r="M120" s="1"/>
      <c r="N120" s="1"/>
      <c r="O120" s="1"/>
      <c r="P120" s="1"/>
      <c r="Q120" s="1"/>
      <c r="R120" s="1"/>
      <c r="S120" s="1"/>
      <c r="T120" s="1"/>
      <c r="U120" s="1"/>
      <c r="V120" s="1"/>
      <c r="W120"/>
      <c r="X120"/>
      <c r="Y120"/>
      <c r="Z120" s="1"/>
      <c r="AA120" s="1"/>
      <c r="AB120" s="1"/>
    </row>
    <row r="121" spans="1:34" x14ac:dyDescent="0.2">
      <c r="A121" s="1" t="s">
        <v>92</v>
      </c>
      <c r="B121" s="1" t="s">
        <v>0</v>
      </c>
      <c r="C121" s="1" t="s">
        <v>1</v>
      </c>
      <c r="D121" s="16">
        <v>43326</v>
      </c>
      <c r="E121" s="1"/>
      <c r="F121" s="1"/>
      <c r="G121" s="16">
        <v>43419</v>
      </c>
      <c r="H121" s="1"/>
      <c r="I121" s="1"/>
      <c r="J121" s="1"/>
      <c r="K121" s="16">
        <v>43547</v>
      </c>
      <c r="L121" s="16">
        <v>43557</v>
      </c>
      <c r="M121" s="1"/>
      <c r="N121" s="1"/>
      <c r="O121" s="1"/>
      <c r="P121" s="1"/>
      <c r="Q121" s="1"/>
      <c r="R121" s="1"/>
      <c r="S121" s="1"/>
      <c r="T121" s="1"/>
      <c r="U121" s="16">
        <v>43852</v>
      </c>
      <c r="V121" s="3" t="s">
        <v>2</v>
      </c>
      <c r="W121" s="3" t="s">
        <v>30</v>
      </c>
      <c r="X121" s="3" t="s">
        <v>31</v>
      </c>
      <c r="Y121" s="3" t="s">
        <v>32</v>
      </c>
      <c r="Z121" s="3" t="s">
        <v>33</v>
      </c>
      <c r="AA121" s="3" t="s">
        <v>34</v>
      </c>
      <c r="AB121" s="3" t="s">
        <v>35</v>
      </c>
      <c r="AC121" s="1" t="s">
        <v>3</v>
      </c>
    </row>
    <row r="122" spans="1:34" x14ac:dyDescent="0.2">
      <c r="A122" t="s">
        <v>95</v>
      </c>
      <c r="B122" t="s">
        <v>28</v>
      </c>
      <c r="C122">
        <v>5</v>
      </c>
      <c r="D122">
        <v>0</v>
      </c>
      <c r="G122">
        <v>7.8999999999999918E-2</v>
      </c>
      <c r="K122">
        <v>5.3499999999999943E-2</v>
      </c>
      <c r="L122">
        <v>5.5999999999999946E-2</v>
      </c>
      <c r="U122">
        <v>0.10499999999999993</v>
      </c>
      <c r="V122">
        <v>0.10499999999999993</v>
      </c>
      <c r="W122">
        <f t="shared" si="1"/>
        <v>0.10499999999999993</v>
      </c>
      <c r="X122"/>
      <c r="Y122"/>
      <c r="Z122"/>
      <c r="AA122"/>
      <c r="AB122"/>
    </row>
    <row r="123" spans="1:34" x14ac:dyDescent="0.2">
      <c r="A123" t="s">
        <v>95</v>
      </c>
      <c r="B123" t="s">
        <v>28</v>
      </c>
      <c r="C123">
        <v>6</v>
      </c>
      <c r="D123">
        <v>0</v>
      </c>
      <c r="G123">
        <v>7.2999999999999968E-2</v>
      </c>
      <c r="K123">
        <v>0.1104999999999999</v>
      </c>
      <c r="L123">
        <v>0.11099999999999995</v>
      </c>
      <c r="U123">
        <v>0.14599999999999994</v>
      </c>
      <c r="V123">
        <v>0.14599999999999994</v>
      </c>
      <c r="W123">
        <f t="shared" si="1"/>
        <v>0.14599999999999994</v>
      </c>
      <c r="X123"/>
      <c r="Y123"/>
      <c r="Z123"/>
      <c r="AA123"/>
      <c r="AB123"/>
    </row>
    <row r="124" spans="1:34" x14ac:dyDescent="0.2">
      <c r="A124" t="s">
        <v>95</v>
      </c>
      <c r="B124" t="s">
        <v>28</v>
      </c>
      <c r="C124">
        <v>7</v>
      </c>
      <c r="D124">
        <v>0</v>
      </c>
      <c r="G124">
        <v>8.6999999999999952E-2</v>
      </c>
      <c r="K124">
        <v>9.2999999999999972E-2</v>
      </c>
      <c r="L124">
        <v>8.3999999999999908E-2</v>
      </c>
      <c r="U124">
        <v>0.12099999999999994</v>
      </c>
      <c r="V124">
        <v>0.12099999999999994</v>
      </c>
      <c r="W124">
        <f t="shared" si="1"/>
        <v>0.12099999999999994</v>
      </c>
      <c r="X124"/>
      <c r="Y124"/>
      <c r="Z124"/>
      <c r="AA124"/>
      <c r="AB124"/>
      <c r="AH124" t="s">
        <v>29</v>
      </c>
    </row>
    <row r="125" spans="1:34" x14ac:dyDescent="0.2">
      <c r="A125" t="s">
        <v>95</v>
      </c>
      <c r="B125" t="s">
        <v>28</v>
      </c>
      <c r="C125">
        <v>13</v>
      </c>
      <c r="D125">
        <v>0</v>
      </c>
      <c r="G125">
        <v>7.8000000000000042E-2</v>
      </c>
      <c r="K125">
        <v>9.900000000000006E-2</v>
      </c>
      <c r="L125">
        <v>8.8000000000000037E-2</v>
      </c>
      <c r="U125">
        <v>8.3000000000000046E-2</v>
      </c>
      <c r="V125">
        <v>9.900000000000006E-2</v>
      </c>
      <c r="W125">
        <f t="shared" si="1"/>
        <v>8.3000000000000046E-2</v>
      </c>
      <c r="X125"/>
      <c r="Y125"/>
      <c r="Z125"/>
      <c r="AA125"/>
      <c r="AB125"/>
      <c r="AC125" t="s">
        <v>18</v>
      </c>
    </row>
    <row r="126" spans="1:34" x14ac:dyDescent="0.2">
      <c r="A126" t="s">
        <v>95</v>
      </c>
      <c r="B126" t="s">
        <v>28</v>
      </c>
      <c r="C126">
        <v>16</v>
      </c>
      <c r="D126">
        <v>0</v>
      </c>
      <c r="G126">
        <v>7.5999999999999943E-2</v>
      </c>
      <c r="K126">
        <v>9.4999999999999862E-2</v>
      </c>
      <c r="L126">
        <v>9.0999999999999942E-2</v>
      </c>
      <c r="U126">
        <v>0.12099999999999994</v>
      </c>
      <c r="V126">
        <v>0.12099999999999994</v>
      </c>
      <c r="W126">
        <f t="shared" si="1"/>
        <v>0.12099999999999994</v>
      </c>
      <c r="X126"/>
      <c r="Y126"/>
      <c r="Z126"/>
      <c r="AA126"/>
      <c r="AB126"/>
    </row>
    <row r="127" spans="1:34" s="18" customFormat="1" x14ac:dyDescent="0.2">
      <c r="A127" t="s">
        <v>95</v>
      </c>
      <c r="B127" s="17" t="s">
        <v>28</v>
      </c>
      <c r="C127" s="17" t="s">
        <v>46</v>
      </c>
      <c r="D127" s="17">
        <v>0</v>
      </c>
      <c r="E127" s="17"/>
      <c r="F127" s="17"/>
      <c r="G127" s="17">
        <v>7.8599999999999962E-2</v>
      </c>
      <c r="H127" s="17"/>
      <c r="I127" s="17"/>
      <c r="J127" s="17"/>
      <c r="K127" s="17">
        <v>9.0199999999999947E-2</v>
      </c>
      <c r="L127" s="17">
        <v>8.5999999999999965E-2</v>
      </c>
      <c r="M127" s="17"/>
      <c r="N127" s="17"/>
      <c r="O127" s="17"/>
      <c r="P127" s="17"/>
      <c r="Q127" s="17"/>
      <c r="R127" s="17"/>
      <c r="S127" s="17"/>
      <c r="T127" s="17"/>
      <c r="U127" s="17">
        <v>0.11519999999999996</v>
      </c>
      <c r="V127" s="17">
        <v>0.11839999999999996</v>
      </c>
      <c r="W127" s="17">
        <f t="shared" si="1"/>
        <v>0.11519999999999996</v>
      </c>
      <c r="X127" s="17">
        <f>SLOPE(D127:U127,D121:U121)</f>
        <v>1.7993559273154103E-4</v>
      </c>
      <c r="Y127" s="17">
        <f>INTERCEPT(D127:U127,D121:U121)</f>
        <v>-7.7604316946498422</v>
      </c>
      <c r="Z127" s="17">
        <f>-(((X127*D121)+Y127)-((X127*U121)+Y127))</f>
        <v>9.4646121776790437E-2</v>
      </c>
      <c r="AA127" s="17">
        <f>(Z127/(U121-D121))*365</f>
        <v>6.5676491347012381E-2</v>
      </c>
      <c r="AB127" s="17"/>
    </row>
    <row r="128" spans="1:34" x14ac:dyDescent="0.2">
      <c r="A128" t="s">
        <v>95</v>
      </c>
      <c r="B128" s="9" t="s">
        <v>28</v>
      </c>
      <c r="C128" s="9" t="s">
        <v>47</v>
      </c>
      <c r="D128" s="9"/>
      <c r="E128" s="9"/>
      <c r="F128" s="9"/>
      <c r="G128" s="9">
        <v>-0.6</v>
      </c>
      <c r="H128" s="9"/>
      <c r="I128" s="9"/>
      <c r="J128" s="9"/>
      <c r="K128" s="9">
        <v>-0.95700000000000007</v>
      </c>
      <c r="L128" s="9">
        <v>-0.95700000000000007</v>
      </c>
      <c r="M128" s="9"/>
      <c r="N128" s="9"/>
      <c r="O128" s="9"/>
      <c r="P128" s="9"/>
      <c r="Q128" s="9"/>
      <c r="R128" s="9"/>
      <c r="S128" s="9"/>
      <c r="T128" s="9"/>
      <c r="U128" s="9">
        <v>-0.31400000000000006</v>
      </c>
      <c r="V128" s="9">
        <v>0.64300000000000002</v>
      </c>
      <c r="W128" s="8"/>
      <c r="X128" s="8"/>
      <c r="Y128" s="8"/>
      <c r="Z128" s="19"/>
      <c r="AA128" s="19"/>
      <c r="AB128" s="19">
        <f>AVERAGE(G128,K128:L128,U128)</f>
        <v>-0.70700000000000007</v>
      </c>
      <c r="AC128"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A39C-EC8E-4410-8F55-2D8654BB2021}">
  <dimension ref="A1:Y115"/>
  <sheetViews>
    <sheetView zoomScaleNormal="100" workbookViewId="0">
      <pane xSplit="2" topLeftCell="C1" activePane="topRight" state="frozen"/>
      <selection pane="topRight" activeCell="A68" sqref="A68:A70"/>
    </sheetView>
  </sheetViews>
  <sheetFormatPr baseColWidth="10" defaultColWidth="8.83203125" defaultRowHeight="15" x14ac:dyDescent="0.2"/>
  <cols>
    <col min="2" max="2" width="9.6640625" customWidth="1"/>
    <col min="3" max="3" width="12.33203125" bestFit="1" customWidth="1"/>
    <col min="4" max="4" width="12" bestFit="1" customWidth="1"/>
    <col min="5" max="5" width="11.83203125" bestFit="1" customWidth="1"/>
    <col min="6" max="6" width="13.1640625" bestFit="1" customWidth="1"/>
    <col min="7" max="7" width="11.1640625" bestFit="1" customWidth="1"/>
    <col min="8" max="10" width="13.1640625" bestFit="1" customWidth="1"/>
    <col min="11" max="11" width="13" bestFit="1" customWidth="1"/>
    <col min="12" max="12" width="12.6640625" bestFit="1" customWidth="1"/>
    <col min="13" max="17" width="13.1640625" bestFit="1" customWidth="1"/>
    <col min="18" max="18" width="9.83203125" bestFit="1" customWidth="1"/>
    <col min="19" max="19" width="10" bestFit="1" customWidth="1"/>
    <col min="20" max="20" width="10.33203125" bestFit="1" customWidth="1"/>
    <col min="21" max="21" width="17.6640625" customWidth="1"/>
    <col min="22" max="22" width="12.33203125" bestFit="1" customWidth="1"/>
  </cols>
  <sheetData>
    <row r="1" spans="1:25" s="1" customFormat="1" x14ac:dyDescent="0.2">
      <c r="D1" s="2">
        <v>43313</v>
      </c>
      <c r="E1" s="2">
        <v>43344</v>
      </c>
      <c r="F1" s="2">
        <v>43374</v>
      </c>
      <c r="G1" s="2">
        <v>43405</v>
      </c>
      <c r="H1" s="2">
        <v>43435</v>
      </c>
      <c r="I1" s="2">
        <v>43466</v>
      </c>
      <c r="J1" s="2">
        <v>43497</v>
      </c>
      <c r="K1" s="2">
        <v>43525</v>
      </c>
      <c r="L1" s="2">
        <v>43556</v>
      </c>
      <c r="M1" s="2">
        <v>43586</v>
      </c>
      <c r="N1" s="2">
        <v>43617</v>
      </c>
      <c r="O1" s="2">
        <v>43647</v>
      </c>
      <c r="P1" s="2">
        <v>43678</v>
      </c>
      <c r="Q1" s="2">
        <v>43709</v>
      </c>
      <c r="R1" s="2">
        <v>43739</v>
      </c>
      <c r="S1" s="2">
        <v>43770</v>
      </c>
      <c r="T1" s="2">
        <v>43800</v>
      </c>
      <c r="U1" s="2">
        <v>43831</v>
      </c>
      <c r="V1" s="1" t="s">
        <v>36</v>
      </c>
      <c r="W1" s="1" t="s">
        <v>32</v>
      </c>
      <c r="X1" s="1" t="s">
        <v>49</v>
      </c>
      <c r="Y1" s="1" t="s">
        <v>50</v>
      </c>
    </row>
    <row r="2" spans="1:25" s="1" customFormat="1" x14ac:dyDescent="0.2">
      <c r="A2" s="1" t="s">
        <v>92</v>
      </c>
      <c r="B2" s="1" t="s">
        <v>0</v>
      </c>
      <c r="C2" s="1" t="s">
        <v>1</v>
      </c>
      <c r="D2" s="16">
        <v>43327</v>
      </c>
      <c r="E2" s="16"/>
      <c r="F2" s="16"/>
      <c r="G2" s="16"/>
      <c r="H2" s="16"/>
      <c r="I2" s="16"/>
      <c r="J2" s="16"/>
      <c r="K2" s="16">
        <v>43546</v>
      </c>
      <c r="L2" s="16">
        <v>43556</v>
      </c>
      <c r="M2" s="16"/>
      <c r="N2" s="16"/>
      <c r="O2" s="16"/>
      <c r="P2" s="16"/>
      <c r="Q2" s="16"/>
      <c r="R2" s="16"/>
      <c r="S2" s="16"/>
      <c r="T2" s="16"/>
      <c r="U2" s="16">
        <v>43867</v>
      </c>
    </row>
    <row r="3" spans="1:25" s="18" customFormat="1" x14ac:dyDescent="0.2">
      <c r="A3" s="50" t="s">
        <v>96</v>
      </c>
      <c r="B3" s="17" t="s">
        <v>4</v>
      </c>
      <c r="C3" s="17" t="s">
        <v>46</v>
      </c>
      <c r="D3" s="17">
        <v>0</v>
      </c>
      <c r="E3" s="17"/>
      <c r="F3" s="17"/>
      <c r="G3" s="17"/>
      <c r="H3" s="17"/>
      <c r="I3" s="17"/>
      <c r="J3" s="17"/>
      <c r="K3" s="17">
        <v>-2.8749999999999431E-3</v>
      </c>
      <c r="L3" s="17">
        <v>-1.7500000000000072E-3</v>
      </c>
      <c r="M3" s="17"/>
      <c r="N3" s="17"/>
      <c r="O3" s="17"/>
      <c r="P3" s="17"/>
      <c r="Q3" s="17"/>
      <c r="R3" s="17"/>
      <c r="S3" s="17"/>
      <c r="T3" s="17"/>
      <c r="U3" s="17">
        <v>-8.5000000000000145E-3</v>
      </c>
      <c r="V3" s="18">
        <f>SLOPE(D3:U3,D2:U2)</f>
        <v>-1.6074638768365746E-5</v>
      </c>
      <c r="W3" s="18">
        <f>INTERCEPT(D3:U3,D2:U2)</f>
        <v>0.69715505969276903</v>
      </c>
    </row>
    <row r="4" spans="1:25" s="1" customFormat="1" x14ac:dyDescent="0.2">
      <c r="A4" s="50" t="s">
        <v>96</v>
      </c>
      <c r="B4" s="19" t="s">
        <v>4</v>
      </c>
      <c r="C4" s="19" t="s">
        <v>37</v>
      </c>
      <c r="D4" s="19">
        <f>($V$3*D2)+$W$3</f>
        <v>6.8918577578636064E-4</v>
      </c>
      <c r="E4" s="19"/>
      <c r="F4" s="19"/>
      <c r="G4" s="19"/>
      <c r="H4" s="19"/>
      <c r="I4" s="19"/>
      <c r="J4" s="19"/>
      <c r="K4" s="19">
        <f>($V$3*K2)+$W$3</f>
        <v>-2.8311601144856979E-3</v>
      </c>
      <c r="L4" s="19">
        <f>($V$3*L2)+$W$3</f>
        <v>-2.9919065021694058E-3</v>
      </c>
      <c r="M4" s="19"/>
      <c r="N4" s="19"/>
      <c r="O4" s="19"/>
      <c r="P4" s="19"/>
      <c r="Q4" s="19"/>
      <c r="R4" s="19"/>
      <c r="S4" s="19"/>
      <c r="T4" s="19"/>
      <c r="U4" s="19">
        <f>($V$3*U2)+$W$3</f>
        <v>-7.9911191591310882E-3</v>
      </c>
      <c r="V4" s="18"/>
      <c r="W4" s="18"/>
    </row>
    <row r="5" spans="1:25" s="21" customFormat="1" x14ac:dyDescent="0.2">
      <c r="A5" s="50" t="s">
        <v>96</v>
      </c>
      <c r="B5" s="20" t="s">
        <v>4</v>
      </c>
      <c r="C5" s="21" t="s">
        <v>48</v>
      </c>
      <c r="D5" s="21">
        <f>D3-D4</f>
        <v>-6.8918577578636064E-4</v>
      </c>
      <c r="K5" s="21">
        <f>K3-K4</f>
        <v>-4.3839885514245207E-5</v>
      </c>
      <c r="L5" s="21">
        <f>L3-L4</f>
        <v>1.2419065021693986E-3</v>
      </c>
      <c r="U5" s="21">
        <f>U3-U4</f>
        <v>-5.0888084086892632E-4</v>
      </c>
      <c r="X5" s="21">
        <f>(MAX(D5:U5)-MIN(D5:U5))</f>
        <v>1.9310922779557592E-3</v>
      </c>
      <c r="Y5" s="21" t="e">
        <v>#N/A</v>
      </c>
    </row>
    <row r="6" spans="1:25" s="1" customFormat="1" x14ac:dyDescent="0.2">
      <c r="V6" s="18"/>
      <c r="W6" s="18"/>
    </row>
    <row r="7" spans="1:25" s="1" customFormat="1" x14ac:dyDescent="0.2">
      <c r="A7" s="1" t="s">
        <v>92</v>
      </c>
      <c r="B7" s="1" t="s">
        <v>0</v>
      </c>
      <c r="C7" s="1" t="s">
        <v>1</v>
      </c>
      <c r="D7" s="16">
        <v>43304</v>
      </c>
      <c r="G7" s="16">
        <v>43418</v>
      </c>
      <c r="K7" s="16">
        <v>43546</v>
      </c>
      <c r="L7" s="16">
        <v>43556</v>
      </c>
      <c r="U7" s="16">
        <v>43867</v>
      </c>
      <c r="V7" s="18"/>
      <c r="W7" s="18"/>
    </row>
    <row r="8" spans="1:25" s="18" customFormat="1" x14ac:dyDescent="0.2">
      <c r="A8" s="50" t="s">
        <v>96</v>
      </c>
      <c r="B8" s="17" t="s">
        <v>8</v>
      </c>
      <c r="C8" s="17" t="s">
        <v>46</v>
      </c>
      <c r="D8" s="17">
        <v>0</v>
      </c>
      <c r="E8" s="17"/>
      <c r="F8" s="17"/>
      <c r="G8" s="17">
        <v>1.4200000000000016E-2</v>
      </c>
      <c r="H8" s="17"/>
      <c r="I8" s="17"/>
      <c r="J8" s="17"/>
      <c r="K8" s="17">
        <v>-5.0000000000000001E-4</v>
      </c>
      <c r="L8" s="17">
        <v>-7.8000000000000404E-3</v>
      </c>
      <c r="M8" s="17"/>
      <c r="N8" s="17"/>
      <c r="O8" s="17"/>
      <c r="P8" s="17"/>
      <c r="Q8" s="17"/>
      <c r="R8" s="17"/>
      <c r="S8" s="17"/>
      <c r="T8" s="17"/>
      <c r="U8" s="17">
        <v>-5.7999999999999968E-2</v>
      </c>
      <c r="V8" s="18">
        <f>SLOPE(D8:U8,D7:U7)</f>
        <v>-1.176702395255387E-4</v>
      </c>
      <c r="W8" s="18">
        <f>INTERCEPT(D8:U8,D7:U7)</f>
        <v>5.1127304225108086</v>
      </c>
    </row>
    <row r="9" spans="1:25" x14ac:dyDescent="0.2">
      <c r="A9" s="50" t="s">
        <v>96</v>
      </c>
      <c r="B9" s="19" t="s">
        <v>8</v>
      </c>
      <c r="C9" s="19" t="s">
        <v>37</v>
      </c>
      <c r="D9" s="22">
        <f>($V$8*D7)+$W$8</f>
        <v>1.7138370096880351E-2</v>
      </c>
      <c r="E9" s="19"/>
      <c r="F9" s="19"/>
      <c r="G9" s="19">
        <f>($V$8*G7)+$W$8</f>
        <v>3.7239627909695372E-3</v>
      </c>
      <c r="H9" s="19"/>
      <c r="I9" s="19"/>
      <c r="J9" s="19"/>
      <c r="K9" s="19">
        <f>($V$8*K7)+$W$8</f>
        <v>-1.1337827868299399E-2</v>
      </c>
      <c r="L9" s="19">
        <f>($V$8*L7)+$W$8</f>
        <v>-1.2514530263555201E-2</v>
      </c>
      <c r="M9" s="19"/>
      <c r="N9" s="19"/>
      <c r="O9" s="19"/>
      <c r="P9" s="19"/>
      <c r="Q9" s="19"/>
      <c r="R9" s="19"/>
      <c r="S9" s="19"/>
      <c r="T9" s="19"/>
      <c r="U9" s="19">
        <f>($V$8*U7)+$W$8</f>
        <v>-4.9109974755997321E-2</v>
      </c>
      <c r="V9" s="18"/>
      <c r="W9" s="18"/>
    </row>
    <row r="10" spans="1:25" s="21" customFormat="1" x14ac:dyDescent="0.2">
      <c r="A10" s="50" t="s">
        <v>96</v>
      </c>
      <c r="B10" s="20" t="s">
        <v>8</v>
      </c>
      <c r="C10" s="21" t="s">
        <v>48</v>
      </c>
      <c r="D10" s="21">
        <f>D8-D9</f>
        <v>-1.7138370096880351E-2</v>
      </c>
      <c r="G10" s="21">
        <f>G8-G9</f>
        <v>1.0476037209030479E-2</v>
      </c>
      <c r="K10" s="21">
        <f>K8-K9</f>
        <v>1.0837827868299399E-2</v>
      </c>
      <c r="L10" s="21">
        <f>L8-L9</f>
        <v>4.714530263555161E-3</v>
      </c>
      <c r="U10" s="21">
        <f>U8-U9</f>
        <v>-8.8900252440026473E-3</v>
      </c>
      <c r="X10" s="21">
        <f>(MAX(D10:U10)-MIN(D10:U10))</f>
        <v>2.797619796517975E-2</v>
      </c>
      <c r="Y10" s="21">
        <f>G10-D10</f>
        <v>2.7614407305910832E-2</v>
      </c>
    </row>
    <row r="11" spans="1:25" x14ac:dyDescent="0.2">
      <c r="B11" s="1"/>
      <c r="C11" s="1"/>
      <c r="D11" s="1"/>
      <c r="E11" s="1"/>
      <c r="F11" s="1"/>
      <c r="G11" s="1"/>
      <c r="H11" s="1"/>
      <c r="I11" s="1"/>
      <c r="J11" s="1"/>
      <c r="K11" s="1"/>
      <c r="L11" s="1"/>
      <c r="M11" s="1"/>
      <c r="N11" s="1"/>
      <c r="O11" s="1"/>
      <c r="P11" s="1"/>
      <c r="Q11" s="1"/>
      <c r="R11" s="1"/>
      <c r="S11" s="1"/>
      <c r="T11" s="1"/>
      <c r="U11" s="1"/>
      <c r="V11" s="18"/>
      <c r="W11" s="18"/>
    </row>
    <row r="12" spans="1:25" x14ac:dyDescent="0.2">
      <c r="A12" s="1" t="s">
        <v>92</v>
      </c>
      <c r="B12" s="1" t="s">
        <v>0</v>
      </c>
      <c r="C12" s="1" t="s">
        <v>1</v>
      </c>
      <c r="D12" s="16">
        <v>43304</v>
      </c>
      <c r="E12" s="1"/>
      <c r="F12" s="1"/>
      <c r="G12" s="16">
        <v>43418</v>
      </c>
      <c r="H12" s="1"/>
      <c r="I12" s="1"/>
      <c r="J12" s="1"/>
      <c r="K12" s="16">
        <v>43546</v>
      </c>
      <c r="L12" s="16">
        <v>43556</v>
      </c>
      <c r="M12" s="1"/>
      <c r="N12" s="1"/>
      <c r="O12" s="1"/>
      <c r="P12" s="1"/>
      <c r="Q12" s="1"/>
      <c r="R12" s="1"/>
      <c r="S12" s="1"/>
      <c r="T12" s="1"/>
      <c r="U12" s="16">
        <v>43867</v>
      </c>
      <c r="V12" s="18"/>
      <c r="W12" s="18"/>
    </row>
    <row r="13" spans="1:25" s="18" customFormat="1" x14ac:dyDescent="0.2">
      <c r="A13" s="50" t="s">
        <v>96</v>
      </c>
      <c r="B13" s="17" t="s">
        <v>10</v>
      </c>
      <c r="C13" s="17" t="s">
        <v>46</v>
      </c>
      <c r="D13" s="17">
        <v>0</v>
      </c>
      <c r="E13" s="17"/>
      <c r="F13" s="17"/>
      <c r="G13" s="17">
        <v>3.999999999999998E-2</v>
      </c>
      <c r="H13" s="17"/>
      <c r="I13" s="17"/>
      <c r="J13" s="17"/>
      <c r="K13" s="17">
        <v>3.6214285714285664E-2</v>
      </c>
      <c r="L13" s="17">
        <v>2.9857142857142825E-2</v>
      </c>
      <c r="M13" s="17"/>
      <c r="N13" s="17"/>
      <c r="O13" s="17"/>
      <c r="P13" s="17"/>
      <c r="Q13" s="17"/>
      <c r="R13" s="17"/>
      <c r="S13" s="17"/>
      <c r="T13" s="17"/>
      <c r="U13" s="17">
        <v>5.7428571428571412E-2</v>
      </c>
      <c r="V13" s="18">
        <f>SLOPE(D13:U13,D12:U12)</f>
        <v>8.3744183176193089E-5</v>
      </c>
      <c r="W13" s="18">
        <f>INTERCEPT(D13:U13,D12:U12)</f>
        <v>-3.6133709959617297</v>
      </c>
    </row>
    <row r="14" spans="1:25" x14ac:dyDescent="0.2">
      <c r="A14" s="50" t="s">
        <v>96</v>
      </c>
      <c r="B14" s="19" t="s">
        <v>10</v>
      </c>
      <c r="C14" s="19" t="s">
        <v>37</v>
      </c>
      <c r="D14" s="19">
        <f>($V$13*D12)+$W$13</f>
        <v>1.3087112300135928E-2</v>
      </c>
      <c r="E14" s="19"/>
      <c r="F14" s="19"/>
      <c r="G14" s="19">
        <f>($V$13*G12)+$W$13</f>
        <v>2.2633949182221613E-2</v>
      </c>
      <c r="H14" s="19"/>
      <c r="I14" s="19"/>
      <c r="J14" s="19"/>
      <c r="K14" s="19">
        <f>($V$13*K12)+$W$13</f>
        <v>3.3353204628774336E-2</v>
      </c>
      <c r="L14" s="19">
        <f>($V$13*L12)+$W$13</f>
        <v>3.4190646460536378E-2</v>
      </c>
      <c r="M14" s="19"/>
      <c r="N14" s="19"/>
      <c r="O14" s="19"/>
      <c r="P14" s="19"/>
      <c r="Q14" s="19"/>
      <c r="R14" s="19"/>
      <c r="S14" s="19"/>
      <c r="T14" s="19"/>
      <c r="U14" s="19">
        <f>($V$13*U12)+$W$13</f>
        <v>6.0235087428332612E-2</v>
      </c>
      <c r="V14" s="18"/>
      <c r="W14" s="18"/>
    </row>
    <row r="15" spans="1:25" s="21" customFormat="1" x14ac:dyDescent="0.2">
      <c r="A15" s="50" t="s">
        <v>96</v>
      </c>
      <c r="B15" s="20" t="s">
        <v>10</v>
      </c>
      <c r="C15" s="21" t="s">
        <v>48</v>
      </c>
      <c r="D15" s="21">
        <f>D13-D14</f>
        <v>-1.3087112300135928E-2</v>
      </c>
      <c r="G15" s="21">
        <f>G13-G14</f>
        <v>1.7366050817778367E-2</v>
      </c>
      <c r="K15" s="21">
        <f>K13-K14</f>
        <v>2.8610810855113286E-3</v>
      </c>
      <c r="L15" s="21">
        <f>L13-L14</f>
        <v>-4.3335036033935528E-3</v>
      </c>
      <c r="U15" s="21">
        <f>U13-U14</f>
        <v>-2.8065159997611999E-3</v>
      </c>
      <c r="X15" s="21">
        <f>(MAX(D15:U15)-MIN(D15:U15))</f>
        <v>3.0453163117914295E-2</v>
      </c>
      <c r="Y15" s="21">
        <f>G15-D15</f>
        <v>3.0453163117914295E-2</v>
      </c>
    </row>
    <row r="16" spans="1:25" x14ac:dyDescent="0.2">
      <c r="B16" s="1"/>
      <c r="C16" s="1"/>
      <c r="D16" s="1"/>
      <c r="E16" s="1"/>
      <c r="F16" s="1"/>
      <c r="G16" s="1"/>
      <c r="H16" s="1"/>
      <c r="I16" s="1"/>
      <c r="J16" s="1"/>
      <c r="K16" s="1"/>
      <c r="L16" s="1"/>
      <c r="M16" s="1"/>
      <c r="N16" s="1"/>
      <c r="O16" s="1"/>
      <c r="P16" s="1"/>
      <c r="Q16" s="1"/>
      <c r="R16" s="1"/>
      <c r="S16" s="1"/>
      <c r="T16" s="1"/>
      <c r="U16" s="1"/>
      <c r="V16" s="18"/>
      <c r="W16" s="18"/>
    </row>
    <row r="17" spans="1:25" x14ac:dyDescent="0.2">
      <c r="A17" s="1" t="s">
        <v>92</v>
      </c>
      <c r="B17" s="1" t="s">
        <v>0</v>
      </c>
      <c r="C17" s="1" t="s">
        <v>1</v>
      </c>
      <c r="D17" s="16">
        <v>43327</v>
      </c>
      <c r="E17" s="1"/>
      <c r="F17" s="1"/>
      <c r="G17" s="16">
        <v>43411</v>
      </c>
      <c r="H17" s="1"/>
      <c r="I17" s="1"/>
      <c r="J17" s="1"/>
      <c r="K17" s="16">
        <v>43551</v>
      </c>
      <c r="L17" s="16">
        <v>43562</v>
      </c>
      <c r="M17" s="1"/>
      <c r="N17" s="1"/>
      <c r="O17" s="1"/>
      <c r="P17" s="1"/>
      <c r="Q17" s="1"/>
      <c r="R17" s="1"/>
      <c r="S17" s="1"/>
      <c r="T17" s="1"/>
      <c r="U17" s="16">
        <v>43850</v>
      </c>
      <c r="V17" s="18"/>
      <c r="W17" s="18"/>
    </row>
    <row r="18" spans="1:25" s="18" customFormat="1" x14ac:dyDescent="0.2">
      <c r="A18" s="50" t="s">
        <v>94</v>
      </c>
      <c r="B18" s="17" t="s">
        <v>13</v>
      </c>
      <c r="C18" s="17" t="s">
        <v>46</v>
      </c>
      <c r="D18" s="17">
        <v>0</v>
      </c>
      <c r="E18" s="17"/>
      <c r="F18" s="17"/>
      <c r="G18" s="17">
        <v>2.0000000000000282E-3</v>
      </c>
      <c r="H18" s="17"/>
      <c r="I18" s="17"/>
      <c r="J18" s="17"/>
      <c r="K18" s="17">
        <v>-9.9999999999999291E-3</v>
      </c>
      <c r="L18" s="17">
        <v>-3.5000000000000144E-3</v>
      </c>
      <c r="M18" s="17"/>
      <c r="N18" s="17"/>
      <c r="O18" s="17"/>
      <c r="P18" s="17"/>
      <c r="Q18" s="17"/>
      <c r="R18" s="17"/>
      <c r="S18" s="17"/>
      <c r="T18" s="17"/>
      <c r="U18" s="17">
        <v>-1.8999999999999986E-2</v>
      </c>
      <c r="V18" s="18">
        <f>SLOPE(D18:U18,D17:U17)</f>
        <v>-3.9875928394831478E-5</v>
      </c>
      <c r="W18" s="18">
        <f>INTERCEPT(D18:U18,D17:U17)</f>
        <v>1.7301058974966415</v>
      </c>
    </row>
    <row r="19" spans="1:25" x14ac:dyDescent="0.2">
      <c r="A19" s="50" t="s">
        <v>94</v>
      </c>
      <c r="B19" s="19" t="s">
        <v>13</v>
      </c>
      <c r="C19" s="19" t="s">
        <v>37</v>
      </c>
      <c r="D19" s="19">
        <f>($V$18*D17)+$W$18</f>
        <v>2.4015479337780032E-3</v>
      </c>
      <c r="E19" s="19"/>
      <c r="F19" s="19"/>
      <c r="G19" s="19">
        <f>($V$18*G17)+$W$18</f>
        <v>-9.4803005138777152E-4</v>
      </c>
      <c r="H19" s="19"/>
      <c r="I19" s="19"/>
      <c r="J19" s="19"/>
      <c r="K19" s="19">
        <f>($V$18*K17)+$W$18</f>
        <v>-6.5306600266641368E-3</v>
      </c>
      <c r="L19" s="19">
        <f>($V$18*L17)+$W$18</f>
        <v>-6.9692952390074669E-3</v>
      </c>
      <c r="M19" s="19"/>
      <c r="N19" s="19"/>
      <c r="O19" s="19"/>
      <c r="P19" s="19"/>
      <c r="Q19" s="19"/>
      <c r="R19" s="19"/>
      <c r="S19" s="19"/>
      <c r="T19" s="19"/>
      <c r="U19" s="19">
        <f>($V$18*U17)+$W$18</f>
        <v>-1.8453562616718822E-2</v>
      </c>
      <c r="V19" s="18"/>
      <c r="W19" s="18"/>
    </row>
    <row r="20" spans="1:25" s="21" customFormat="1" x14ac:dyDescent="0.2">
      <c r="A20" s="50" t="s">
        <v>94</v>
      </c>
      <c r="B20" s="20" t="s">
        <v>13</v>
      </c>
      <c r="C20" s="21" t="s">
        <v>48</v>
      </c>
      <c r="D20" s="21">
        <f>D18-D19</f>
        <v>-2.4015479337780032E-3</v>
      </c>
      <c r="G20" s="21">
        <f>G18-G19</f>
        <v>2.9480300513877998E-3</v>
      </c>
      <c r="K20" s="21">
        <f>K18-K19</f>
        <v>-3.4693399733357923E-3</v>
      </c>
      <c r="L20" s="21">
        <f>L18-L19</f>
        <v>3.4692952390074526E-3</v>
      </c>
      <c r="U20" s="21">
        <f>U18-U19</f>
        <v>-5.4643738328116406E-4</v>
      </c>
      <c r="X20" s="21">
        <f>(MAX(D20:U20)-MIN(D20:U20))</f>
        <v>6.9386352123432448E-3</v>
      </c>
      <c r="Y20" s="21">
        <f>G20-D20</f>
        <v>5.3495779851658026E-3</v>
      </c>
    </row>
    <row r="21" spans="1:25" x14ac:dyDescent="0.2">
      <c r="B21" s="1"/>
      <c r="C21" s="1"/>
      <c r="D21" s="1"/>
      <c r="E21" s="1"/>
      <c r="F21" s="1"/>
      <c r="G21" s="1"/>
      <c r="H21" s="1"/>
      <c r="I21" s="1"/>
      <c r="J21" s="1"/>
      <c r="K21" s="1"/>
      <c r="L21" s="1"/>
      <c r="M21" s="1"/>
      <c r="N21" s="1"/>
      <c r="O21" s="1"/>
      <c r="P21" s="1"/>
      <c r="Q21" s="1"/>
      <c r="R21" s="1"/>
      <c r="S21" s="1"/>
      <c r="T21" s="1"/>
      <c r="U21" s="1"/>
      <c r="V21" s="18"/>
      <c r="W21" s="18"/>
    </row>
    <row r="22" spans="1:25" x14ac:dyDescent="0.2">
      <c r="A22" s="1" t="s">
        <v>92</v>
      </c>
      <c r="B22" s="1" t="s">
        <v>0</v>
      </c>
      <c r="C22" s="1" t="s">
        <v>1</v>
      </c>
      <c r="D22" s="16">
        <v>43304</v>
      </c>
      <c r="E22" s="1"/>
      <c r="F22" s="1"/>
      <c r="G22" s="16">
        <v>43416</v>
      </c>
      <c r="H22" s="1"/>
      <c r="I22" s="1"/>
      <c r="J22" s="1"/>
      <c r="K22" s="16">
        <v>43551</v>
      </c>
      <c r="L22" s="16">
        <v>43562</v>
      </c>
      <c r="M22" s="1"/>
      <c r="N22" s="1"/>
      <c r="O22" s="1"/>
      <c r="P22" s="1"/>
      <c r="Q22" s="1"/>
      <c r="R22" s="1"/>
      <c r="S22" s="1"/>
      <c r="T22" s="1"/>
      <c r="U22" s="16">
        <v>43850</v>
      </c>
      <c r="V22" s="18"/>
      <c r="W22" s="18"/>
    </row>
    <row r="23" spans="1:25" s="18" customFormat="1" x14ac:dyDescent="0.2">
      <c r="A23" s="51" t="s">
        <v>97</v>
      </c>
      <c r="B23" s="17" t="s">
        <v>14</v>
      </c>
      <c r="C23" s="17" t="s">
        <v>46</v>
      </c>
      <c r="D23" s="17">
        <v>0</v>
      </c>
      <c r="E23" s="17"/>
      <c r="F23" s="17"/>
      <c r="G23" s="17">
        <v>-9.500000000000005E-3</v>
      </c>
      <c r="H23" s="17"/>
      <c r="I23" s="17"/>
      <c r="J23" s="17"/>
      <c r="K23" s="17">
        <v>-1.0166666666666657E-2</v>
      </c>
      <c r="L23" s="17">
        <v>-1.5750000000000052E-2</v>
      </c>
      <c r="M23" s="17"/>
      <c r="N23" s="17"/>
      <c r="O23" s="17"/>
      <c r="P23" s="17"/>
      <c r="Q23" s="17"/>
      <c r="R23" s="17"/>
      <c r="S23" s="17"/>
      <c r="T23" s="17"/>
      <c r="U23" s="17">
        <v>-2.7166666666666686E-2</v>
      </c>
      <c r="V23" s="18">
        <f>SLOPE(D23:U23,D22:U22)</f>
        <v>-4.719068140876739E-5</v>
      </c>
      <c r="W23" s="18">
        <f>INTERCEPT(D23:U23,D22:U22)</f>
        <v>2.0420051535542756</v>
      </c>
    </row>
    <row r="24" spans="1:25" x14ac:dyDescent="0.2">
      <c r="A24" s="51" t="s">
        <v>97</v>
      </c>
      <c r="B24" s="19" t="s">
        <v>14</v>
      </c>
      <c r="C24" s="19" t="s">
        <v>37</v>
      </c>
      <c r="D24" s="19">
        <f>($V$23*D22)+$W$23</f>
        <v>-1.5401141709876498E-3</v>
      </c>
      <c r="E24" s="19"/>
      <c r="F24" s="19"/>
      <c r="G24" s="19">
        <f>($V$23*G22)+$W$23</f>
        <v>-6.8254704887693585E-3</v>
      </c>
      <c r="H24" s="19"/>
      <c r="I24" s="19"/>
      <c r="J24" s="19"/>
      <c r="K24" s="19">
        <f>($V$23*K22)+$W$23</f>
        <v>-1.3196212478952862E-2</v>
      </c>
      <c r="L24" s="19">
        <f>($V$23*L22)+$W$23</f>
        <v>-1.3715309974449585E-2</v>
      </c>
      <c r="M24" s="19"/>
      <c r="N24" s="19"/>
      <c r="O24" s="19"/>
      <c r="P24" s="19"/>
      <c r="Q24" s="19"/>
      <c r="R24" s="19"/>
      <c r="S24" s="19"/>
      <c r="T24" s="19"/>
      <c r="U24" s="19">
        <f>($V$23*U22)+$W$23</f>
        <v>-2.7306226220174423E-2</v>
      </c>
      <c r="V24" s="18"/>
      <c r="W24" s="18"/>
    </row>
    <row r="25" spans="1:25" s="21" customFormat="1" x14ac:dyDescent="0.2">
      <c r="A25" s="51" t="s">
        <v>97</v>
      </c>
      <c r="B25" s="20" t="s">
        <v>14</v>
      </c>
      <c r="C25" s="21" t="s">
        <v>48</v>
      </c>
      <c r="D25" s="21">
        <f>D23-D24</f>
        <v>1.5401141709876498E-3</v>
      </c>
      <c r="G25" s="21">
        <f>G23-G24</f>
        <v>-2.6745295112306465E-3</v>
      </c>
      <c r="K25" s="21">
        <f>K23-K24</f>
        <v>3.0295458122862051E-3</v>
      </c>
      <c r="L25" s="21">
        <f>L23-L24</f>
        <v>-2.0346900255504667E-3</v>
      </c>
      <c r="U25" s="21">
        <f>U23-U24</f>
        <v>1.3955955350773708E-4</v>
      </c>
      <c r="X25" s="21">
        <f>(MAX(D25:U25)-MIN(D25:U25))</f>
        <v>5.7040753235168516E-3</v>
      </c>
      <c r="Y25" s="21">
        <f>G25-D25</f>
        <v>-4.2146436822182963E-3</v>
      </c>
    </row>
    <row r="26" spans="1:25" x14ac:dyDescent="0.2">
      <c r="B26" s="1"/>
      <c r="C26" s="1"/>
      <c r="D26" s="1"/>
      <c r="E26" s="1"/>
      <c r="F26" s="1"/>
      <c r="G26" s="1"/>
      <c r="H26" s="1"/>
      <c r="I26" s="1"/>
      <c r="J26" s="1"/>
      <c r="K26" s="1"/>
      <c r="L26" s="1"/>
      <c r="M26" s="1"/>
      <c r="N26" s="1"/>
      <c r="O26" s="1"/>
      <c r="P26" s="1"/>
      <c r="Q26" s="1"/>
      <c r="R26" s="1"/>
      <c r="S26" s="1"/>
      <c r="T26" s="1"/>
      <c r="U26" s="1"/>
      <c r="V26" s="18"/>
      <c r="W26" s="18"/>
    </row>
    <row r="27" spans="1:25" x14ac:dyDescent="0.2">
      <c r="A27" s="1" t="s">
        <v>92</v>
      </c>
      <c r="B27" s="1" t="s">
        <v>0</v>
      </c>
      <c r="C27" s="1" t="s">
        <v>1</v>
      </c>
      <c r="D27" s="16">
        <v>43308</v>
      </c>
      <c r="E27" s="1"/>
      <c r="F27" s="1"/>
      <c r="G27" s="16">
        <v>43416</v>
      </c>
      <c r="H27" s="1"/>
      <c r="I27" s="1"/>
      <c r="J27" s="1"/>
      <c r="K27" s="16">
        <v>43551</v>
      </c>
      <c r="L27" s="16">
        <v>43562</v>
      </c>
      <c r="M27" s="1"/>
      <c r="N27" s="1"/>
      <c r="O27" s="1"/>
      <c r="P27" s="1"/>
      <c r="Q27" s="1"/>
      <c r="R27" s="1"/>
      <c r="S27" s="1"/>
      <c r="T27" s="1"/>
      <c r="U27" s="16">
        <v>43850</v>
      </c>
      <c r="V27" s="18"/>
      <c r="W27" s="18"/>
    </row>
    <row r="28" spans="1:25" s="18" customFormat="1" x14ac:dyDescent="0.2">
      <c r="A28" s="51" t="s">
        <v>97</v>
      </c>
      <c r="B28" s="17" t="s">
        <v>17</v>
      </c>
      <c r="C28" s="17" t="s">
        <v>46</v>
      </c>
      <c r="D28" s="17">
        <v>0</v>
      </c>
      <c r="E28" s="17"/>
      <c r="F28" s="17"/>
      <c r="G28" s="17">
        <v>1.0199999999999982E-2</v>
      </c>
      <c r="H28" s="17"/>
      <c r="I28" s="17"/>
      <c r="J28" s="17"/>
      <c r="K28" s="17">
        <v>-1.5900000000000029E-2</v>
      </c>
      <c r="L28" s="17">
        <v>-1.5549999999999991E-2</v>
      </c>
      <c r="M28" s="17"/>
      <c r="N28" s="17"/>
      <c r="O28" s="17"/>
      <c r="P28" s="17"/>
      <c r="Q28" s="17"/>
      <c r="R28" s="17"/>
      <c r="S28" s="17"/>
      <c r="T28" s="17"/>
      <c r="U28" s="17">
        <v>1.8999999999999701E-3</v>
      </c>
      <c r="V28" s="18">
        <f>SLOPE(D28:U28,D27:U27)</f>
        <v>-7.4944294127009809E-6</v>
      </c>
      <c r="W28" s="18">
        <f>INTERCEPT(D28:U28,D27:U27)</f>
        <v>0.32241797111252768</v>
      </c>
    </row>
    <row r="29" spans="1:25" x14ac:dyDescent="0.2">
      <c r="A29" s="51" t="s">
        <v>97</v>
      </c>
      <c r="B29" s="19" t="s">
        <v>17</v>
      </c>
      <c r="C29" s="19" t="s">
        <v>37</v>
      </c>
      <c r="D29" s="19">
        <f>($V$28*D27)+$W$28</f>
        <v>-2.1507778927263854E-3</v>
      </c>
      <c r="E29" s="19"/>
      <c r="F29" s="19"/>
      <c r="G29" s="19">
        <f>($V$28*G27)+$W$28</f>
        <v>-2.9601762692981204E-3</v>
      </c>
      <c r="H29" s="19"/>
      <c r="I29" s="19"/>
      <c r="J29" s="19"/>
      <c r="K29" s="19">
        <f>($V$28*K27)+$W$28</f>
        <v>-3.9719242400127475E-3</v>
      </c>
      <c r="L29" s="19">
        <f>($V$28*L27)+$W$28</f>
        <v>-4.0543629635524381E-3</v>
      </c>
      <c r="M29" s="19"/>
      <c r="N29" s="19"/>
      <c r="O29" s="19"/>
      <c r="P29" s="19"/>
      <c r="Q29" s="19"/>
      <c r="R29" s="19"/>
      <c r="S29" s="19"/>
      <c r="T29" s="19"/>
      <c r="U29" s="19">
        <f>($V$28*U27)+$W$28</f>
        <v>-6.2127586344103425E-3</v>
      </c>
      <c r="V29" s="18"/>
      <c r="W29" s="18"/>
    </row>
    <row r="30" spans="1:25" s="21" customFormat="1" x14ac:dyDescent="0.2">
      <c r="A30" s="51" t="s">
        <v>97</v>
      </c>
      <c r="B30" s="20" t="s">
        <v>17</v>
      </c>
      <c r="C30" s="21" t="s">
        <v>48</v>
      </c>
      <c r="D30" s="21">
        <f>D28-D29</f>
        <v>2.1507778927263854E-3</v>
      </c>
      <c r="G30" s="21">
        <f>G28-G29</f>
        <v>1.3160176269298102E-2</v>
      </c>
      <c r="K30" s="21">
        <f>K28-K29</f>
        <v>-1.1928075759987281E-2</v>
      </c>
      <c r="L30" s="21">
        <f>L28-L29</f>
        <v>-1.1495637036447553E-2</v>
      </c>
      <c r="U30" s="21">
        <f>U28-U29</f>
        <v>8.1127586344103119E-3</v>
      </c>
      <c r="X30" s="21">
        <f>(MAX(D30:U30)-MIN(D30:U30))</f>
        <v>2.5088252029285385E-2</v>
      </c>
      <c r="Y30" s="21">
        <f>G30-D30</f>
        <v>1.1009398376571717E-2</v>
      </c>
    </row>
    <row r="31" spans="1:25" x14ac:dyDescent="0.2">
      <c r="B31" s="1"/>
      <c r="C31" s="1"/>
      <c r="D31" s="1"/>
      <c r="E31" s="1"/>
      <c r="F31" s="1"/>
      <c r="G31" s="1"/>
      <c r="H31" s="1"/>
      <c r="I31" s="1"/>
      <c r="J31" s="1"/>
      <c r="K31" s="1"/>
      <c r="L31" s="1"/>
      <c r="M31" s="1"/>
      <c r="N31" s="1"/>
      <c r="O31" s="1"/>
      <c r="P31" s="1"/>
      <c r="Q31" s="1"/>
      <c r="R31" s="1"/>
      <c r="S31" s="1"/>
      <c r="T31" s="1"/>
      <c r="U31" s="1"/>
      <c r="V31" s="18"/>
      <c r="W31" s="18"/>
    </row>
    <row r="32" spans="1:25" x14ac:dyDescent="0.2">
      <c r="A32" s="1" t="s">
        <v>92</v>
      </c>
      <c r="B32" s="1" t="s">
        <v>0</v>
      </c>
      <c r="C32" s="1" t="s">
        <v>1</v>
      </c>
      <c r="D32" s="16">
        <v>43308</v>
      </c>
      <c r="E32" s="1"/>
      <c r="F32" s="1"/>
      <c r="G32" s="16">
        <v>43416</v>
      </c>
      <c r="H32" s="1"/>
      <c r="I32" s="1"/>
      <c r="J32" s="1"/>
      <c r="K32" s="16">
        <v>43551</v>
      </c>
      <c r="L32" s="16">
        <v>43562</v>
      </c>
      <c r="M32" s="1"/>
      <c r="N32" s="1"/>
      <c r="O32" s="1"/>
      <c r="P32" s="1"/>
      <c r="Q32" s="1"/>
      <c r="R32" s="1"/>
      <c r="S32" s="1"/>
      <c r="T32" s="1"/>
      <c r="U32" s="16">
        <v>43850</v>
      </c>
      <c r="V32" s="18"/>
      <c r="W32" s="18"/>
    </row>
    <row r="33" spans="1:25" s="18" customFormat="1" x14ac:dyDescent="0.2">
      <c r="A33" s="51" t="s">
        <v>97</v>
      </c>
      <c r="B33" s="17" t="s">
        <v>20</v>
      </c>
      <c r="C33" s="17" t="s">
        <v>46</v>
      </c>
      <c r="D33" s="17">
        <v>0</v>
      </c>
      <c r="E33" s="17"/>
      <c r="F33" s="17"/>
      <c r="G33" s="17">
        <v>2.249999999999943E-3</v>
      </c>
      <c r="H33" s="17"/>
      <c r="I33" s="17"/>
      <c r="J33" s="17"/>
      <c r="K33" s="17">
        <v>-1.0250000000000021E-2</v>
      </c>
      <c r="L33" s="17">
        <v>-6.6250000000000146E-3</v>
      </c>
      <c r="M33" s="17"/>
      <c r="N33" s="17"/>
      <c r="O33" s="17"/>
      <c r="P33" s="17"/>
      <c r="Q33" s="17"/>
      <c r="R33" s="17"/>
      <c r="S33" s="17"/>
      <c r="T33" s="17"/>
      <c r="U33" s="17">
        <v>-5.749999999999993E-3</v>
      </c>
      <c r="V33" s="18">
        <f>SLOPE(D33:U33,D32:U32)</f>
        <v>-1.4306130298689532E-5</v>
      </c>
      <c r="W33" s="18">
        <f>INTERCEPT(D33:U33,D32:U32)</f>
        <v>0.61877671726616557</v>
      </c>
    </row>
    <row r="34" spans="1:25" x14ac:dyDescent="0.2">
      <c r="A34" s="51" t="s">
        <v>97</v>
      </c>
      <c r="B34" s="19" t="s">
        <v>20</v>
      </c>
      <c r="C34" s="19" t="s">
        <v>37</v>
      </c>
      <c r="D34" s="19">
        <f>($V$33*D32)+$W$33</f>
        <v>-7.9317370948073229E-4</v>
      </c>
      <c r="E34" s="19"/>
      <c r="F34" s="19"/>
      <c r="G34" s="19">
        <f>($V$33*G32)+$W$33</f>
        <v>-2.3382357817391952E-3</v>
      </c>
      <c r="H34" s="19"/>
      <c r="I34" s="19"/>
      <c r="J34" s="19"/>
      <c r="K34" s="19">
        <f>($V$33*K32)+$W$33</f>
        <v>-4.2695633720621906E-3</v>
      </c>
      <c r="L34" s="19">
        <f>($V$33*L32)+$W$33</f>
        <v>-4.4269308053478396E-3</v>
      </c>
      <c r="M34" s="19"/>
      <c r="N34" s="19"/>
      <c r="O34" s="19"/>
      <c r="P34" s="19"/>
      <c r="Q34" s="19"/>
      <c r="R34" s="19"/>
      <c r="S34" s="19"/>
      <c r="T34" s="19"/>
      <c r="U34" s="19">
        <f>($V$33*U32)+$W$33</f>
        <v>-8.5470963313704074E-3</v>
      </c>
      <c r="V34" s="18"/>
      <c r="W34" s="18"/>
    </row>
    <row r="35" spans="1:25" s="21" customFormat="1" x14ac:dyDescent="0.2">
      <c r="A35" s="51" t="s">
        <v>97</v>
      </c>
      <c r="B35" s="20" t="s">
        <v>20</v>
      </c>
      <c r="C35" s="21" t="s">
        <v>48</v>
      </c>
      <c r="D35" s="21">
        <f>D33-D34</f>
        <v>7.9317370948073229E-4</v>
      </c>
      <c r="G35" s="21">
        <f>G33-G34</f>
        <v>4.5882357817391382E-3</v>
      </c>
      <c r="K35" s="21">
        <f>K33-K34</f>
        <v>-5.9804366279378306E-3</v>
      </c>
      <c r="L35" s="21">
        <f>L33-L34</f>
        <v>-2.198069194652175E-3</v>
      </c>
      <c r="U35" s="21">
        <f>U33-U34</f>
        <v>2.7970963313704144E-3</v>
      </c>
      <c r="X35" s="21">
        <f>(MAX(D35:U35)-MIN(D35:U35))</f>
        <v>1.0568672409676969E-2</v>
      </c>
      <c r="Y35" s="21">
        <f>G35-D35</f>
        <v>3.7950620722584059E-3</v>
      </c>
    </row>
    <row r="36" spans="1:25" x14ac:dyDescent="0.2">
      <c r="B36" s="1"/>
      <c r="C36" s="1"/>
      <c r="D36" s="1"/>
      <c r="E36" s="1"/>
      <c r="F36" s="1"/>
      <c r="G36" s="1"/>
      <c r="H36" s="1"/>
      <c r="I36" s="1"/>
      <c r="J36" s="1"/>
      <c r="K36" s="1"/>
      <c r="L36" s="1"/>
      <c r="M36" s="1"/>
      <c r="N36" s="1"/>
      <c r="O36" s="1"/>
      <c r="P36" s="1"/>
      <c r="Q36" s="1"/>
      <c r="R36" s="1"/>
      <c r="S36" s="1"/>
      <c r="T36" s="1"/>
      <c r="U36" s="1"/>
      <c r="V36" s="18"/>
      <c r="W36" s="18"/>
    </row>
    <row r="37" spans="1:25" x14ac:dyDescent="0.2">
      <c r="A37" s="1" t="s">
        <v>92</v>
      </c>
      <c r="B37" s="1" t="s">
        <v>0</v>
      </c>
      <c r="C37" s="1" t="s">
        <v>1</v>
      </c>
      <c r="D37" s="16">
        <v>43325</v>
      </c>
      <c r="E37" s="1"/>
      <c r="F37" s="1"/>
      <c r="G37" s="16">
        <v>43411</v>
      </c>
      <c r="H37" s="1"/>
      <c r="I37" s="1"/>
      <c r="J37" s="1"/>
      <c r="K37" s="16">
        <v>43551</v>
      </c>
      <c r="L37" s="16">
        <v>43562</v>
      </c>
      <c r="M37" s="1"/>
      <c r="N37" s="1"/>
      <c r="O37" s="1"/>
      <c r="P37" s="1"/>
      <c r="Q37" s="1"/>
      <c r="R37" s="1"/>
      <c r="S37" s="1"/>
      <c r="T37" s="1"/>
      <c r="U37" s="16">
        <v>43850</v>
      </c>
      <c r="V37" s="18"/>
      <c r="W37" s="18"/>
    </row>
    <row r="38" spans="1:25" s="18" customFormat="1" x14ac:dyDescent="0.2">
      <c r="A38" s="50" t="s">
        <v>94</v>
      </c>
      <c r="B38" s="17" t="s">
        <v>21</v>
      </c>
      <c r="C38" s="17" t="s">
        <v>46</v>
      </c>
      <c r="D38" s="17">
        <v>0</v>
      </c>
      <c r="E38" s="17"/>
      <c r="F38" s="17"/>
      <c r="G38" s="17">
        <v>-9.0000000000000566E-3</v>
      </c>
      <c r="H38" s="17"/>
      <c r="I38" s="17"/>
      <c r="J38" s="17"/>
      <c r="K38" s="17">
        <v>-1.8999999999999986E-2</v>
      </c>
      <c r="L38" s="17">
        <v>-1.8999999999999986E-2</v>
      </c>
      <c r="M38" s="17"/>
      <c r="N38" s="17"/>
      <c r="O38" s="17"/>
      <c r="P38" s="17"/>
      <c r="Q38" s="17"/>
      <c r="R38" s="17"/>
      <c r="S38" s="17"/>
      <c r="T38" s="17"/>
      <c r="U38" s="17">
        <v>-5.0000000000000001E-3</v>
      </c>
      <c r="V38" s="18">
        <f>SLOPE(D38:U38,D37:U37)</f>
        <v>-6.4322545227572477E-6</v>
      </c>
      <c r="W38" s="18">
        <f>INTERCEPT(D38:U38,D37:U37)</f>
        <v>0.269659075469946</v>
      </c>
    </row>
    <row r="39" spans="1:25" x14ac:dyDescent="0.2">
      <c r="A39" s="50" t="s">
        <v>94</v>
      </c>
      <c r="B39" s="19" t="s">
        <v>21</v>
      </c>
      <c r="C39" s="19" t="s">
        <v>37</v>
      </c>
      <c r="D39" s="19">
        <f>($V$38*D37)+$W$38</f>
        <v>-9.0183517285117309E-3</v>
      </c>
      <c r="E39" s="19"/>
      <c r="F39" s="19"/>
      <c r="G39" s="19">
        <f>($V$38*G37)+$W$38</f>
        <v>-9.571525617468879E-3</v>
      </c>
      <c r="H39" s="19"/>
      <c r="I39" s="19"/>
      <c r="J39" s="19"/>
      <c r="K39" s="19">
        <f>($V$38*K37)+$W$38</f>
        <v>-1.0472041250654873E-2</v>
      </c>
      <c r="L39" s="19">
        <f>($V$38*L37)+$W$38</f>
        <v>-1.0542796050405201E-2</v>
      </c>
      <c r="M39" s="19"/>
      <c r="N39" s="19"/>
      <c r="O39" s="19"/>
      <c r="P39" s="19"/>
      <c r="Q39" s="19"/>
      <c r="R39" s="19"/>
      <c r="S39" s="19"/>
      <c r="T39" s="19"/>
      <c r="U39" s="19">
        <f>($V$38*U37)+$W$38</f>
        <v>-1.2395285352959307E-2</v>
      </c>
      <c r="V39" s="18"/>
      <c r="W39" s="18"/>
    </row>
    <row r="40" spans="1:25" s="21" customFormat="1" x14ac:dyDescent="0.2">
      <c r="A40" s="50" t="s">
        <v>94</v>
      </c>
      <c r="B40" s="20" t="s">
        <v>21</v>
      </c>
      <c r="C40" s="21" t="s">
        <v>48</v>
      </c>
      <c r="D40" s="21">
        <f>D38-D39</f>
        <v>9.0183517285117309E-3</v>
      </c>
      <c r="G40" s="21">
        <f>G38-G39</f>
        <v>5.7152561746882241E-4</v>
      </c>
      <c r="K40" s="21">
        <f>K38-K39</f>
        <v>-8.5279587493451124E-3</v>
      </c>
      <c r="L40" s="21">
        <f>L38-L39</f>
        <v>-8.4572039495947847E-3</v>
      </c>
      <c r="U40" s="21">
        <f>U38-U39</f>
        <v>7.3952853529593065E-3</v>
      </c>
      <c r="X40" s="21">
        <f>(MAX(D40:U40)-MIN(D40:U40))</f>
        <v>1.7546310477856843E-2</v>
      </c>
      <c r="Y40" s="21">
        <f>G40-D40</f>
        <v>-8.4468261110429085E-3</v>
      </c>
    </row>
    <row r="41" spans="1:25" x14ac:dyDescent="0.2">
      <c r="B41" s="1"/>
      <c r="C41" s="1"/>
      <c r="D41" s="1"/>
      <c r="E41" s="1"/>
      <c r="F41" s="1"/>
      <c r="G41" s="1"/>
      <c r="H41" s="1"/>
      <c r="I41" s="1"/>
      <c r="J41" s="1"/>
      <c r="K41" s="1"/>
      <c r="L41" s="1"/>
      <c r="M41" s="1"/>
      <c r="N41" s="1"/>
      <c r="O41" s="1"/>
      <c r="P41" s="1"/>
      <c r="Q41" s="1"/>
      <c r="R41" s="1"/>
      <c r="S41" s="1"/>
      <c r="T41" s="1"/>
      <c r="U41" s="1"/>
      <c r="V41" s="18"/>
      <c r="W41" s="18"/>
    </row>
    <row r="42" spans="1:25" x14ac:dyDescent="0.2">
      <c r="A42" s="1" t="s">
        <v>92</v>
      </c>
      <c r="B42" s="1" t="s">
        <v>0</v>
      </c>
      <c r="C42" s="1" t="s">
        <v>1</v>
      </c>
      <c r="D42" s="16">
        <v>43325</v>
      </c>
      <c r="E42" s="1"/>
      <c r="F42" s="1"/>
      <c r="G42" s="16">
        <v>43411</v>
      </c>
      <c r="H42" s="1"/>
      <c r="I42" s="1"/>
      <c r="J42" s="1"/>
      <c r="K42" s="16">
        <v>43551</v>
      </c>
      <c r="L42" s="16">
        <v>43562</v>
      </c>
      <c r="M42" s="1"/>
      <c r="N42" s="1"/>
      <c r="O42" s="1"/>
      <c r="P42" s="1"/>
      <c r="Q42" s="1"/>
      <c r="R42" s="1"/>
      <c r="S42" s="1"/>
      <c r="T42" s="1"/>
      <c r="U42" s="16">
        <v>43850</v>
      </c>
      <c r="V42" s="18"/>
      <c r="W42" s="18"/>
    </row>
    <row r="43" spans="1:25" s="18" customFormat="1" x14ac:dyDescent="0.2">
      <c r="A43" s="50" t="s">
        <v>94</v>
      </c>
      <c r="B43" s="17" t="s">
        <v>22</v>
      </c>
      <c r="C43" s="17" t="s">
        <v>46</v>
      </c>
      <c r="D43" s="17">
        <v>0</v>
      </c>
      <c r="E43" s="17"/>
      <c r="F43" s="17"/>
      <c r="G43" s="17">
        <v>2.6250000000000197E-3</v>
      </c>
      <c r="H43" s="17"/>
      <c r="I43" s="17"/>
      <c r="J43" s="17"/>
      <c r="K43" s="17">
        <v>-1.825000000000002E-2</v>
      </c>
      <c r="L43" s="17">
        <v>-6.6875000000000016E-3</v>
      </c>
      <c r="M43" s="17"/>
      <c r="N43" s="17"/>
      <c r="O43" s="17"/>
      <c r="P43" s="17"/>
      <c r="Q43" s="17"/>
      <c r="R43" s="17"/>
      <c r="S43" s="17"/>
      <c r="T43" s="17"/>
      <c r="U43" s="17">
        <v>-2.0624999999999991E-2</v>
      </c>
      <c r="V43" s="18">
        <f>SLOPE(D43:U43,D42:U42)</f>
        <v>-4.442440283560652E-5</v>
      </c>
      <c r="W43" s="18">
        <f>INTERCEPT(D43:U43,D42:U42)</f>
        <v>1.9256421145817408</v>
      </c>
    </row>
    <row r="44" spans="1:25" x14ac:dyDescent="0.2">
      <c r="A44" s="50" t="s">
        <v>94</v>
      </c>
      <c r="B44" s="19" t="s">
        <v>22</v>
      </c>
      <c r="C44" s="19" t="s">
        <v>37</v>
      </c>
      <c r="D44" s="19">
        <f>($V$43*D42)+$W$43</f>
        <v>9.5486172908842981E-4</v>
      </c>
      <c r="E44" s="19"/>
      <c r="F44" s="19"/>
      <c r="G44" s="19">
        <f>($V$43*G42)+$W$43</f>
        <v>-2.865636914773706E-3</v>
      </c>
      <c r="H44" s="19"/>
      <c r="I44" s="19"/>
      <c r="J44" s="19"/>
      <c r="K44" s="19">
        <f>($V$43*K42)+$W$43</f>
        <v>-9.085053311758795E-3</v>
      </c>
      <c r="L44" s="19">
        <f>($V$43*L42)+$W$43</f>
        <v>-9.5737217429503474E-3</v>
      </c>
      <c r="M44" s="19"/>
      <c r="N44" s="19"/>
      <c r="O44" s="19"/>
      <c r="P44" s="19"/>
      <c r="Q44" s="19"/>
      <c r="R44" s="19"/>
      <c r="S44" s="19"/>
      <c r="T44" s="19"/>
      <c r="U44" s="19">
        <f>($V$43*U42)+$W$43</f>
        <v>-2.2367949759604988E-2</v>
      </c>
      <c r="V44" s="18"/>
      <c r="W44" s="18"/>
    </row>
    <row r="45" spans="1:25" s="21" customFormat="1" x14ac:dyDescent="0.2">
      <c r="A45" s="50" t="s">
        <v>94</v>
      </c>
      <c r="B45" s="20" t="s">
        <v>22</v>
      </c>
      <c r="C45" s="21" t="s">
        <v>48</v>
      </c>
      <c r="D45" s="21">
        <f>D43-D44</f>
        <v>-9.5486172908842981E-4</v>
      </c>
      <c r="G45" s="21">
        <f>G43-G44</f>
        <v>5.4906369147737256E-3</v>
      </c>
      <c r="K45" s="21">
        <f>K43-K44</f>
        <v>-9.1649466882412246E-3</v>
      </c>
      <c r="L45" s="21">
        <f>L43-L44</f>
        <v>2.8862217429503458E-3</v>
      </c>
      <c r="U45" s="21">
        <f>U43-U44</f>
        <v>1.7429497596049975E-3</v>
      </c>
      <c r="X45" s="21">
        <f>(MAX(D45:U45)-MIN(D45:U45))</f>
        <v>1.465558360301495E-2</v>
      </c>
      <c r="Y45" s="21">
        <f>G45-D45</f>
        <v>6.4454986438621555E-3</v>
      </c>
    </row>
    <row r="46" spans="1:25" x14ac:dyDescent="0.2">
      <c r="B46" s="1"/>
      <c r="C46" s="1"/>
      <c r="D46" s="1"/>
      <c r="E46" s="1"/>
      <c r="F46" s="1"/>
      <c r="G46" s="1"/>
      <c r="H46" s="1"/>
      <c r="I46" s="1"/>
      <c r="J46" s="1"/>
      <c r="K46" s="1"/>
      <c r="L46" s="1"/>
      <c r="M46" s="1"/>
      <c r="N46" s="1"/>
      <c r="O46" s="1"/>
      <c r="P46" s="1"/>
      <c r="Q46" s="1"/>
      <c r="R46" s="1"/>
      <c r="S46" s="1"/>
      <c r="T46" s="1"/>
      <c r="U46" s="1"/>
      <c r="V46" s="18"/>
      <c r="W46" s="18"/>
    </row>
    <row r="47" spans="1:25" x14ac:dyDescent="0.2">
      <c r="A47" s="1" t="s">
        <v>92</v>
      </c>
      <c r="B47" s="1" t="s">
        <v>0</v>
      </c>
      <c r="C47" s="1" t="s">
        <v>1</v>
      </c>
      <c r="D47" s="16">
        <v>43326</v>
      </c>
      <c r="E47" s="1"/>
      <c r="F47" s="1"/>
      <c r="G47" s="16">
        <v>43419</v>
      </c>
      <c r="H47" s="1"/>
      <c r="I47" s="1"/>
      <c r="J47" s="1"/>
      <c r="K47" s="16">
        <v>43547</v>
      </c>
      <c r="L47" s="16">
        <v>43557</v>
      </c>
      <c r="M47" s="1"/>
      <c r="N47" s="1"/>
      <c r="O47" s="1"/>
      <c r="P47" s="1"/>
      <c r="Q47" s="1"/>
      <c r="R47" s="1"/>
      <c r="S47" s="1"/>
      <c r="T47" s="1"/>
      <c r="U47" s="16">
        <v>43852</v>
      </c>
      <c r="V47" s="18"/>
      <c r="W47" s="18"/>
    </row>
    <row r="48" spans="1:25" s="18" customFormat="1" x14ac:dyDescent="0.2">
      <c r="A48" s="50" t="s">
        <v>95</v>
      </c>
      <c r="B48" s="17" t="s">
        <v>24</v>
      </c>
      <c r="C48" s="17" t="s">
        <v>46</v>
      </c>
      <c r="D48" s="17">
        <v>0</v>
      </c>
      <c r="E48" s="17"/>
      <c r="F48" s="17"/>
      <c r="G48" s="17">
        <v>6.7749999999999991E-2</v>
      </c>
      <c r="H48" s="17"/>
      <c r="I48" s="17"/>
      <c r="J48" s="17"/>
      <c r="K48" s="17">
        <v>7.0499999999999993E-2</v>
      </c>
      <c r="L48" s="17">
        <v>7.1750000000000022E-2</v>
      </c>
      <c r="M48" s="17"/>
      <c r="N48" s="17"/>
      <c r="O48" s="17"/>
      <c r="P48" s="17"/>
      <c r="Q48" s="17"/>
      <c r="R48" s="17"/>
      <c r="S48" s="17"/>
      <c r="T48" s="17"/>
      <c r="U48" s="17">
        <v>9.6750000000000003E-2</v>
      </c>
      <c r="V48" s="18">
        <f>SLOPE(D48:U48,D47:U47)</f>
        <v>1.4950878706390387E-4</v>
      </c>
      <c r="W48" s="18">
        <f>INTERCEPT(D48:U48,D47:U47)</f>
        <v>-6.4482924905197869</v>
      </c>
    </row>
    <row r="49" spans="1:25" x14ac:dyDescent="0.2">
      <c r="A49" s="50" t="s">
        <v>95</v>
      </c>
      <c r="B49" s="19" t="s">
        <v>24</v>
      </c>
      <c r="C49" s="19" t="s">
        <v>37</v>
      </c>
      <c r="D49" s="19">
        <f>($V$48*D47)+$W$48</f>
        <v>2.9325217810912463E-2</v>
      </c>
      <c r="E49" s="19"/>
      <c r="F49" s="19"/>
      <c r="G49" s="19">
        <f>($V$48*G47)+$W$48</f>
        <v>4.3229535007855091E-2</v>
      </c>
      <c r="H49" s="19"/>
      <c r="I49" s="19"/>
      <c r="J49" s="19"/>
      <c r="K49" s="19">
        <f>($V$48*K47)+$W$48</f>
        <v>6.2366659752035147E-2</v>
      </c>
      <c r="L49" s="19">
        <f>($V$48*L47)+$W$48</f>
        <v>6.3861747622674159E-2</v>
      </c>
      <c r="M49" s="19"/>
      <c r="N49" s="19"/>
      <c r="O49" s="19"/>
      <c r="P49" s="19"/>
      <c r="Q49" s="19"/>
      <c r="R49" s="19"/>
      <c r="S49" s="19"/>
      <c r="T49" s="19"/>
      <c r="U49" s="19">
        <f>($V$48*U47)+$W$48</f>
        <v>0.10796683980652588</v>
      </c>
      <c r="V49" s="18"/>
      <c r="W49" s="18"/>
    </row>
    <row r="50" spans="1:25" s="21" customFormat="1" x14ac:dyDescent="0.2">
      <c r="A50" s="50" t="s">
        <v>95</v>
      </c>
      <c r="B50" s="20" t="s">
        <v>24</v>
      </c>
      <c r="C50" s="21" t="s">
        <v>48</v>
      </c>
      <c r="D50" s="21">
        <f>D48-D49</f>
        <v>-2.9325217810912463E-2</v>
      </c>
      <c r="G50" s="21">
        <f>G48-G49</f>
        <v>2.45204649921449E-2</v>
      </c>
      <c r="K50" s="21">
        <f>K48-K49</f>
        <v>8.1333402479648459E-3</v>
      </c>
      <c r="L50" s="21">
        <f>L48-L49</f>
        <v>7.8882523773258634E-3</v>
      </c>
      <c r="U50" s="21">
        <f>U48-U49</f>
        <v>-1.121683980652588E-2</v>
      </c>
      <c r="X50" s="21">
        <f>(MAX(D50:U50)-MIN(D50:U50))</f>
        <v>5.3845682803057363E-2</v>
      </c>
      <c r="Y50" s="21">
        <f>G50-D50</f>
        <v>5.3845682803057363E-2</v>
      </c>
    </row>
    <row r="51" spans="1:25" x14ac:dyDescent="0.2">
      <c r="B51" s="1"/>
      <c r="C51" s="1"/>
      <c r="D51" s="1"/>
      <c r="E51" s="1"/>
      <c r="F51" s="1"/>
      <c r="G51" s="1"/>
      <c r="H51" s="1"/>
      <c r="I51" s="1"/>
      <c r="J51" s="1"/>
      <c r="K51" s="1"/>
      <c r="L51" s="1"/>
      <c r="M51" s="1"/>
      <c r="N51" s="1"/>
      <c r="O51" s="1"/>
      <c r="P51" s="1"/>
      <c r="Q51" s="1"/>
      <c r="R51" s="1"/>
      <c r="S51" s="1"/>
      <c r="T51" s="1"/>
      <c r="U51" s="1"/>
      <c r="V51" s="18"/>
      <c r="W51" s="18"/>
    </row>
    <row r="52" spans="1:25" x14ac:dyDescent="0.2">
      <c r="A52" s="1" t="s">
        <v>92</v>
      </c>
      <c r="B52" s="1" t="s">
        <v>0</v>
      </c>
      <c r="C52" s="1" t="s">
        <v>1</v>
      </c>
      <c r="D52" s="16">
        <v>43326</v>
      </c>
      <c r="E52" s="1"/>
      <c r="F52" s="1"/>
      <c r="G52" s="16">
        <v>43419</v>
      </c>
      <c r="H52" s="1"/>
      <c r="I52" s="1"/>
      <c r="J52" s="1"/>
      <c r="K52" s="16">
        <v>43547</v>
      </c>
      <c r="L52" s="16">
        <v>43557</v>
      </c>
      <c r="M52" s="1"/>
      <c r="N52" s="1"/>
      <c r="O52" s="1"/>
      <c r="P52" s="1"/>
      <c r="Q52" s="1"/>
      <c r="R52" s="1"/>
      <c r="S52" s="1"/>
      <c r="T52" s="1"/>
      <c r="U52" s="16">
        <v>43852</v>
      </c>
      <c r="V52" s="18"/>
      <c r="W52" s="18"/>
    </row>
    <row r="53" spans="1:25" s="18" customFormat="1" x14ac:dyDescent="0.2">
      <c r="A53" s="50" t="s">
        <v>95</v>
      </c>
      <c r="B53" s="17" t="s">
        <v>25</v>
      </c>
      <c r="C53" s="17" t="s">
        <v>46</v>
      </c>
      <c r="D53" s="17">
        <v>0</v>
      </c>
      <c r="E53" s="17"/>
      <c r="F53" s="17"/>
      <c r="G53" s="17">
        <v>6.5571428571428558E-2</v>
      </c>
      <c r="H53" s="17"/>
      <c r="I53" s="17"/>
      <c r="J53" s="17"/>
      <c r="K53" s="17">
        <v>7.0714285714285743E-2</v>
      </c>
      <c r="L53" s="17">
        <v>7.0428571428571451E-2</v>
      </c>
      <c r="M53" s="17"/>
      <c r="N53" s="17"/>
      <c r="O53" s="17"/>
      <c r="P53" s="17"/>
      <c r="Q53" s="17"/>
      <c r="R53" s="17"/>
      <c r="S53" s="17"/>
      <c r="T53" s="17"/>
      <c r="U53" s="17">
        <v>9.9285714285714283E-2</v>
      </c>
      <c r="V53" s="18">
        <f>SLOPE(D53:U53,D52:U52)</f>
        <v>1.5604776733877133E-4</v>
      </c>
      <c r="W53" s="18">
        <f>INTERCEPT(D53:U53,D52:U52)</f>
        <v>-6.7331509994835708</v>
      </c>
    </row>
    <row r="54" spans="1:25" x14ac:dyDescent="0.2">
      <c r="A54" s="50" t="s">
        <v>95</v>
      </c>
      <c r="B54" s="19" t="s">
        <v>25</v>
      </c>
      <c r="C54" s="19" t="s">
        <v>37</v>
      </c>
      <c r="D54" s="19">
        <f>($V$53*D52)+$W$53</f>
        <v>2.7774568236035968E-2</v>
      </c>
      <c r="E54" s="19"/>
      <c r="F54" s="19"/>
      <c r="G54" s="19">
        <f>($V$53*G52)+$W$53</f>
        <v>4.2287010598541563E-2</v>
      </c>
      <c r="H54" s="19"/>
      <c r="I54" s="19"/>
      <c r="J54" s="19"/>
      <c r="K54" s="19">
        <f>($V$53*K52)+$W$53</f>
        <v>6.22611248179048E-2</v>
      </c>
      <c r="L54" s="19">
        <f>($V$53*L52)+$W$53</f>
        <v>6.3821602491292317E-2</v>
      </c>
      <c r="M54" s="19"/>
      <c r="N54" s="19"/>
      <c r="O54" s="19"/>
      <c r="P54" s="19"/>
      <c r="Q54" s="19"/>
      <c r="R54" s="19"/>
      <c r="S54" s="19"/>
      <c r="T54" s="19"/>
      <c r="U54" s="19">
        <f>($V$53*U52)+$W$53</f>
        <v>0.10985569385622984</v>
      </c>
      <c r="V54" s="18"/>
      <c r="W54" s="18"/>
    </row>
    <row r="55" spans="1:25" s="21" customFormat="1" x14ac:dyDescent="0.2">
      <c r="A55" s="50" t="s">
        <v>95</v>
      </c>
      <c r="B55" s="20" t="s">
        <v>25</v>
      </c>
      <c r="C55" s="21" t="s">
        <v>48</v>
      </c>
      <c r="D55" s="21">
        <f>D53-D54</f>
        <v>-2.7774568236035968E-2</v>
      </c>
      <c r="G55" s="21">
        <f>G53-G54</f>
        <v>2.3284417972886995E-2</v>
      </c>
      <c r="K55" s="21">
        <f>K53-K54</f>
        <v>8.4531608963809429E-3</v>
      </c>
      <c r="L55" s="21">
        <f>L53-L54</f>
        <v>6.606968937279134E-3</v>
      </c>
      <c r="U55" s="21">
        <f>U53-U54</f>
        <v>-1.0569979570515559E-2</v>
      </c>
      <c r="X55" s="21">
        <f>(MAX(D55:U55)-MIN(D55:U55))</f>
        <v>5.1058986208922963E-2</v>
      </c>
      <c r="Y55" s="21">
        <f>G55-D55</f>
        <v>5.1058986208922963E-2</v>
      </c>
    </row>
    <row r="56" spans="1:25" x14ac:dyDescent="0.2">
      <c r="B56" s="1"/>
      <c r="C56" s="1"/>
      <c r="D56" s="1"/>
      <c r="E56" s="1"/>
      <c r="F56" s="1"/>
      <c r="G56" s="1"/>
      <c r="H56" s="1"/>
      <c r="I56" s="1"/>
      <c r="J56" s="1"/>
      <c r="K56" s="1"/>
      <c r="L56" s="1"/>
      <c r="M56" s="1"/>
      <c r="N56" s="1"/>
      <c r="O56" s="1"/>
      <c r="P56" s="1"/>
      <c r="Q56" s="1"/>
      <c r="R56" s="1"/>
      <c r="S56" s="1"/>
      <c r="T56" s="1"/>
      <c r="U56" s="1"/>
      <c r="V56" s="18"/>
      <c r="W56" s="18"/>
    </row>
    <row r="57" spans="1:25" x14ac:dyDescent="0.2">
      <c r="A57" s="1" t="s">
        <v>92</v>
      </c>
      <c r="B57" s="1" t="s">
        <v>0</v>
      </c>
      <c r="C57" s="1" t="s">
        <v>1</v>
      </c>
      <c r="D57" s="16">
        <v>43326</v>
      </c>
      <c r="E57" s="1"/>
      <c r="F57" s="1"/>
      <c r="G57" s="16">
        <v>43419</v>
      </c>
      <c r="H57" s="1"/>
      <c r="I57" s="1"/>
      <c r="J57" s="1"/>
      <c r="K57" s="16">
        <v>43547</v>
      </c>
      <c r="L57" s="16">
        <v>43557</v>
      </c>
      <c r="M57" s="1"/>
      <c r="N57" s="1"/>
      <c r="O57" s="1"/>
      <c r="P57" s="1"/>
      <c r="Q57" s="1"/>
      <c r="R57" s="1"/>
      <c r="S57" s="1"/>
      <c r="T57" s="1"/>
      <c r="U57" s="16">
        <v>43852</v>
      </c>
      <c r="V57" s="18"/>
      <c r="W57" s="18"/>
    </row>
    <row r="58" spans="1:25" s="18" customFormat="1" x14ac:dyDescent="0.2">
      <c r="A58" s="50" t="s">
        <v>95</v>
      </c>
      <c r="B58" s="17" t="s">
        <v>26</v>
      </c>
      <c r="C58" s="17" t="s">
        <v>46</v>
      </c>
      <c r="D58" s="17">
        <v>0</v>
      </c>
      <c r="E58" s="17"/>
      <c r="F58" s="17"/>
      <c r="G58" s="17">
        <v>7.8833333333333325E-2</v>
      </c>
      <c r="H58" s="17"/>
      <c r="I58" s="17"/>
      <c r="J58" s="17"/>
      <c r="K58" s="17">
        <v>8.2583333333333314E-2</v>
      </c>
      <c r="L58" s="17">
        <v>8.0166666666666664E-2</v>
      </c>
      <c r="M58" s="17"/>
      <c r="N58" s="17"/>
      <c r="O58" s="17"/>
      <c r="P58" s="17"/>
      <c r="Q58" s="17"/>
      <c r="R58" s="17"/>
      <c r="S58" s="17"/>
      <c r="T58" s="17"/>
      <c r="U58" s="17">
        <v>0.10549999999999998</v>
      </c>
      <c r="V58" s="18">
        <f>SLOPE(D58:U58,D57:U57)</f>
        <v>1.5968162335324243E-4</v>
      </c>
      <c r="W58" s="18">
        <f>INTERCEPT(D58:U58,D57:U57)</f>
        <v>-6.8831531504581793</v>
      </c>
    </row>
    <row r="59" spans="1:25" x14ac:dyDescent="0.2">
      <c r="A59" s="50" t="s">
        <v>95</v>
      </c>
      <c r="B59" s="19" t="s">
        <v>26</v>
      </c>
      <c r="C59" s="19" t="s">
        <v>37</v>
      </c>
      <c r="D59" s="19">
        <f>($V$58*D57)+$W$58</f>
        <v>3.5212862944401735E-2</v>
      </c>
      <c r="E59" s="19"/>
      <c r="F59" s="19"/>
      <c r="G59" s="19">
        <f>($V$58*G57)+$W$58</f>
        <v>5.0063253916253991E-2</v>
      </c>
      <c r="H59" s="19"/>
      <c r="I59" s="19"/>
      <c r="J59" s="19"/>
      <c r="K59" s="19">
        <f>($V$58*K57)+$W$58</f>
        <v>7.0502501705468568E-2</v>
      </c>
      <c r="L59" s="19">
        <f>($V$58*L57)+$W$58</f>
        <v>7.209931793900104E-2</v>
      </c>
      <c r="M59" s="19"/>
      <c r="N59" s="19"/>
      <c r="O59" s="19"/>
      <c r="P59" s="19"/>
      <c r="Q59" s="19"/>
      <c r="R59" s="19"/>
      <c r="S59" s="19"/>
      <c r="T59" s="19"/>
      <c r="U59" s="19">
        <f>($V$58*U57)+$W$58</f>
        <v>0.11920539682820763</v>
      </c>
      <c r="V59" s="18"/>
      <c r="W59" s="18"/>
    </row>
    <row r="60" spans="1:25" s="21" customFormat="1" x14ac:dyDescent="0.2">
      <c r="A60" s="50" t="s">
        <v>95</v>
      </c>
      <c r="B60" s="20" t="s">
        <v>26</v>
      </c>
      <c r="C60" s="21" t="s">
        <v>48</v>
      </c>
      <c r="D60" s="21">
        <f>D58-D59</f>
        <v>-3.5212862944401735E-2</v>
      </c>
      <c r="G60" s="21">
        <f>G58-G59</f>
        <v>2.8770079417079333E-2</v>
      </c>
      <c r="K60" s="21">
        <f>K58-K59</f>
        <v>1.2080831627864747E-2</v>
      </c>
      <c r="L60" s="21">
        <f>L58-L59</f>
        <v>8.0673487276656242E-3</v>
      </c>
      <c r="U60" s="21">
        <f>U58-U59</f>
        <v>-1.370539682820765E-2</v>
      </c>
      <c r="X60" s="21">
        <f>(MAX(D60:U60)-MIN(D60:U60))</f>
        <v>6.3982942361481068E-2</v>
      </c>
      <c r="Y60" s="21">
        <f>G60-D60</f>
        <v>6.3982942361481068E-2</v>
      </c>
    </row>
    <row r="61" spans="1:25" x14ac:dyDescent="0.2">
      <c r="B61" s="1"/>
      <c r="C61" s="1"/>
      <c r="D61" s="1"/>
      <c r="E61" s="1"/>
      <c r="F61" s="1"/>
      <c r="G61" s="1"/>
      <c r="H61" s="1"/>
      <c r="I61" s="1"/>
      <c r="J61" s="1"/>
      <c r="K61" s="1"/>
      <c r="L61" s="1"/>
      <c r="M61" s="1"/>
      <c r="N61" s="1"/>
      <c r="O61" s="1"/>
      <c r="P61" s="1"/>
      <c r="Q61" s="1"/>
      <c r="R61" s="1"/>
      <c r="S61" s="1"/>
      <c r="T61" s="1"/>
      <c r="U61" s="1"/>
      <c r="V61" s="18"/>
      <c r="W61" s="18"/>
    </row>
    <row r="62" spans="1:25" x14ac:dyDescent="0.2">
      <c r="A62" s="1" t="s">
        <v>92</v>
      </c>
      <c r="B62" s="1" t="s">
        <v>0</v>
      </c>
      <c r="C62" s="1" t="s">
        <v>1</v>
      </c>
      <c r="D62" s="16">
        <v>43326</v>
      </c>
      <c r="E62" s="1"/>
      <c r="F62" s="1"/>
      <c r="G62" s="16">
        <v>43419</v>
      </c>
      <c r="H62" s="1"/>
      <c r="I62" s="1"/>
      <c r="J62" s="1"/>
      <c r="K62" s="16">
        <v>43547</v>
      </c>
      <c r="L62" s="16">
        <v>43557</v>
      </c>
      <c r="M62" s="1"/>
      <c r="N62" s="1"/>
      <c r="O62" s="1"/>
      <c r="P62" s="1"/>
      <c r="Q62" s="1"/>
      <c r="R62" s="1"/>
      <c r="S62" s="1"/>
      <c r="T62" s="1"/>
      <c r="U62" s="16">
        <v>43852</v>
      </c>
      <c r="V62" s="18"/>
      <c r="W62" s="18"/>
    </row>
    <row r="63" spans="1:25" s="18" customFormat="1" x14ac:dyDescent="0.2">
      <c r="A63" s="50" t="s">
        <v>95</v>
      </c>
      <c r="B63" s="17" t="s">
        <v>27</v>
      </c>
      <c r="C63" s="17" t="s">
        <v>46</v>
      </c>
      <c r="D63" s="17">
        <v>0</v>
      </c>
      <c r="E63" s="17"/>
      <c r="F63" s="17"/>
      <c r="G63" s="17">
        <v>7.6999999999999985E-2</v>
      </c>
      <c r="H63" s="17"/>
      <c r="I63" s="17"/>
      <c r="J63" s="17"/>
      <c r="K63" s="17">
        <v>9.2000000000000026E-2</v>
      </c>
      <c r="L63" s="17">
        <v>8.1333333333333327E-2</v>
      </c>
      <c r="M63" s="17"/>
      <c r="N63" s="17"/>
      <c r="O63" s="17"/>
      <c r="P63" s="17"/>
      <c r="Q63" s="17"/>
      <c r="R63" s="17"/>
      <c r="S63" s="17"/>
      <c r="T63" s="17"/>
      <c r="U63" s="17">
        <v>0.11</v>
      </c>
      <c r="V63" s="18">
        <f>SLOPE(D63:U63,D62:U62)</f>
        <v>1.7048953065669614E-4</v>
      </c>
      <c r="W63" s="18">
        <f>INTERCEPT(D63:U63,D62:U62)</f>
        <v>-7.3510815960320146</v>
      </c>
    </row>
    <row r="64" spans="1:25" x14ac:dyDescent="0.2">
      <c r="A64" s="50" t="s">
        <v>95</v>
      </c>
      <c r="B64" s="19" t="s">
        <v>27</v>
      </c>
      <c r="C64" s="19" t="s">
        <v>37</v>
      </c>
      <c r="D64" s="19">
        <f>($V$63*D62)+$W$63</f>
        <v>3.5547809200002334E-2</v>
      </c>
      <c r="E64" s="19"/>
      <c r="F64" s="19"/>
      <c r="G64" s="19">
        <f>($V$63*G62)+$W$63</f>
        <v>5.1403335551075457E-2</v>
      </c>
      <c r="H64" s="19"/>
      <c r="I64" s="19"/>
      <c r="J64" s="19"/>
      <c r="K64" s="19">
        <f>($V$63*K62)+$W$63</f>
        <v>7.3225995475132422E-2</v>
      </c>
      <c r="L64" s="19">
        <f>($V$63*L62)+$W$63</f>
        <v>7.4930890781699233E-2</v>
      </c>
      <c r="M64" s="19"/>
      <c r="N64" s="19"/>
      <c r="O64" s="19"/>
      <c r="P64" s="19"/>
      <c r="Q64" s="19"/>
      <c r="R64" s="19"/>
      <c r="S64" s="19"/>
      <c r="T64" s="19"/>
      <c r="U64" s="19">
        <f>($V$63*U62)+$W$63</f>
        <v>0.12522530232542461</v>
      </c>
      <c r="V64" s="18"/>
      <c r="W64" s="18"/>
    </row>
    <row r="65" spans="1:25" s="21" customFormat="1" x14ac:dyDescent="0.2">
      <c r="A65" s="50" t="s">
        <v>95</v>
      </c>
      <c r="B65" s="20" t="s">
        <v>27</v>
      </c>
      <c r="C65" s="21" t="s">
        <v>48</v>
      </c>
      <c r="D65" s="21">
        <f>D63-D64</f>
        <v>-3.5547809200002334E-2</v>
      </c>
      <c r="G65" s="21">
        <f>G63-G64</f>
        <v>2.5596664448924528E-2</v>
      </c>
      <c r="K65" s="21">
        <f>K63-K64</f>
        <v>1.8774004524867605E-2</v>
      </c>
      <c r="L65" s="21">
        <f>L63-L64</f>
        <v>6.4024425516340938E-3</v>
      </c>
      <c r="U65" s="21">
        <f>U63-U64</f>
        <v>-1.5225302325424614E-2</v>
      </c>
      <c r="X65" s="21">
        <f>(MAX(D65:U65)-MIN(D65:U65))</f>
        <v>6.1144473648926861E-2</v>
      </c>
      <c r="Y65" s="21">
        <f>G65-D65</f>
        <v>6.1144473648926861E-2</v>
      </c>
    </row>
    <row r="66" spans="1:25" x14ac:dyDescent="0.2">
      <c r="B66" s="1"/>
      <c r="C66" s="1"/>
      <c r="D66" s="1"/>
      <c r="E66" s="1"/>
      <c r="F66" s="1"/>
      <c r="G66" s="1"/>
      <c r="H66" s="1"/>
      <c r="I66" s="1"/>
      <c r="J66" s="1"/>
      <c r="K66" s="1"/>
      <c r="L66" s="1"/>
      <c r="M66" s="1"/>
      <c r="N66" s="1"/>
      <c r="O66" s="1"/>
      <c r="P66" s="1"/>
      <c r="Q66" s="1"/>
      <c r="R66" s="1"/>
      <c r="S66" s="1"/>
      <c r="T66" s="1"/>
      <c r="U66" s="1"/>
      <c r="V66" s="18"/>
      <c r="W66" s="18"/>
    </row>
    <row r="67" spans="1:25" x14ac:dyDescent="0.2">
      <c r="A67" s="1" t="s">
        <v>92</v>
      </c>
      <c r="B67" s="1" t="s">
        <v>0</v>
      </c>
      <c r="C67" s="1" t="s">
        <v>1</v>
      </c>
      <c r="D67" s="16">
        <v>43326</v>
      </c>
      <c r="E67" s="1"/>
      <c r="F67" s="1"/>
      <c r="G67" s="16">
        <v>43419</v>
      </c>
      <c r="H67" s="1"/>
      <c r="I67" s="1"/>
      <c r="J67" s="1"/>
      <c r="K67" s="16">
        <v>43547</v>
      </c>
      <c r="L67" s="16">
        <v>43557</v>
      </c>
      <c r="M67" s="1"/>
      <c r="N67" s="1"/>
      <c r="O67" s="1"/>
      <c r="P67" s="1"/>
      <c r="Q67" s="1"/>
      <c r="R67" s="1"/>
      <c r="S67" s="1"/>
      <c r="T67" s="1"/>
      <c r="U67" s="16">
        <v>43852</v>
      </c>
      <c r="V67" s="18"/>
      <c r="W67" s="18"/>
    </row>
    <row r="68" spans="1:25" s="18" customFormat="1" x14ac:dyDescent="0.2">
      <c r="A68" s="50" t="s">
        <v>95</v>
      </c>
      <c r="B68" s="17" t="s">
        <v>28</v>
      </c>
      <c r="C68" s="17" t="s">
        <v>46</v>
      </c>
      <c r="D68" s="17">
        <v>0</v>
      </c>
      <c r="E68" s="17"/>
      <c r="F68" s="17"/>
      <c r="G68" s="17">
        <v>7.8599999999999962E-2</v>
      </c>
      <c r="H68" s="17"/>
      <c r="I68" s="17"/>
      <c r="J68" s="17"/>
      <c r="K68" s="17">
        <v>9.0199999999999947E-2</v>
      </c>
      <c r="L68" s="17">
        <v>8.5999999999999965E-2</v>
      </c>
      <c r="M68" s="17"/>
      <c r="N68" s="17"/>
      <c r="O68" s="17"/>
      <c r="P68" s="17"/>
      <c r="Q68" s="17"/>
      <c r="R68" s="17"/>
      <c r="S68" s="17"/>
      <c r="T68" s="17"/>
      <c r="U68" s="17">
        <v>0.11519999999999996</v>
      </c>
      <c r="V68" s="18">
        <f>SLOPE(D68:U68,D67:U67)</f>
        <v>1.7993559273154103E-4</v>
      </c>
      <c r="W68" s="18">
        <f>INTERCEPT(D68:U68,D67:U67)</f>
        <v>-7.7604316946498422</v>
      </c>
    </row>
    <row r="69" spans="1:25" x14ac:dyDescent="0.2">
      <c r="A69" s="50" t="s">
        <v>95</v>
      </c>
      <c r="B69" s="9" t="s">
        <v>28</v>
      </c>
      <c r="C69" s="19" t="s">
        <v>37</v>
      </c>
      <c r="D69" s="19">
        <f>($V$68*D67)+$W$68</f>
        <v>3.5457796036904909E-2</v>
      </c>
      <c r="E69" s="9"/>
      <c r="F69" s="9"/>
      <c r="G69" s="19">
        <f>($V$68*G67)+$W$68</f>
        <v>5.2191806160937659E-2</v>
      </c>
      <c r="H69" s="9"/>
      <c r="I69" s="9"/>
      <c r="J69" s="9"/>
      <c r="K69" s="19">
        <f>($V$68*K67)+$W$68</f>
        <v>7.5223562030575231E-2</v>
      </c>
      <c r="L69" s="19">
        <f>($V$68*L67)+$W$68</f>
        <v>7.7022917957890513E-2</v>
      </c>
      <c r="M69" s="9"/>
      <c r="N69" s="9"/>
      <c r="O69" s="9"/>
      <c r="P69" s="9"/>
      <c r="Q69" s="9"/>
      <c r="R69" s="9"/>
      <c r="S69" s="9"/>
      <c r="T69" s="9"/>
      <c r="U69" s="19">
        <f>($V$68*U67)+$W$68</f>
        <v>0.13010391781369535</v>
      </c>
      <c r="V69" s="18"/>
      <c r="W69" s="18"/>
    </row>
    <row r="70" spans="1:25" s="21" customFormat="1" x14ac:dyDescent="0.2">
      <c r="A70" s="50" t="s">
        <v>95</v>
      </c>
      <c r="B70" s="20" t="s">
        <v>28</v>
      </c>
      <c r="C70" s="21" t="s">
        <v>48</v>
      </c>
      <c r="D70" s="21">
        <f>D68-D69</f>
        <v>-3.5457796036904909E-2</v>
      </c>
      <c r="G70" s="21">
        <f>G68-G69</f>
        <v>2.6408193839062302E-2</v>
      </c>
      <c r="K70" s="21">
        <f>K68-K69</f>
        <v>1.4976437969424716E-2</v>
      </c>
      <c r="L70" s="21">
        <f>L68-L69</f>
        <v>8.9770820421094522E-3</v>
      </c>
      <c r="U70" s="21">
        <f>U68-U69</f>
        <v>-1.4903917813695391E-2</v>
      </c>
      <c r="X70" s="21">
        <f>(MAX(D70:U70)-MIN(D70:U70))</f>
        <v>6.1865989875967212E-2</v>
      </c>
      <c r="Y70" s="21">
        <f>G70-D70</f>
        <v>6.1865989875967212E-2</v>
      </c>
    </row>
    <row r="71" spans="1:25" x14ac:dyDescent="0.2">
      <c r="V71" s="18"/>
      <c r="W71" s="18"/>
    </row>
    <row r="75" spans="1:25" s="21" customFormat="1" x14ac:dyDescent="0.2"/>
    <row r="80" spans="1:25" s="21" customFormat="1" x14ac:dyDescent="0.2"/>
    <row r="85" s="21" customFormat="1" x14ac:dyDescent="0.2"/>
    <row r="90" s="21" customFormat="1" x14ac:dyDescent="0.2"/>
    <row r="95" s="21" customFormat="1" x14ac:dyDescent="0.2"/>
    <row r="100" s="21" customFormat="1" x14ac:dyDescent="0.2"/>
    <row r="105" s="21" customFormat="1" x14ac:dyDescent="0.2"/>
    <row r="110" s="21" customFormat="1" x14ac:dyDescent="0.2"/>
    <row r="115" s="21" customForma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DA76-0F9A-9244-8B54-5D4981581308}">
  <dimension ref="A1:F308"/>
  <sheetViews>
    <sheetView workbookViewId="0">
      <selection activeCell="I14" sqref="I14"/>
    </sheetView>
  </sheetViews>
  <sheetFormatPr baseColWidth="10" defaultColWidth="8.83203125" defaultRowHeight="15" x14ac:dyDescent="0.2"/>
  <cols>
    <col min="2" max="2" width="21.5" customWidth="1"/>
    <col min="3" max="3" width="18" bestFit="1" customWidth="1"/>
  </cols>
  <sheetData>
    <row r="1" spans="1:6" ht="16" thickBot="1" x14ac:dyDescent="0.25">
      <c r="A1" s="32" t="s">
        <v>92</v>
      </c>
      <c r="B1" s="32" t="s">
        <v>63</v>
      </c>
      <c r="C1" s="33" t="s">
        <v>54</v>
      </c>
      <c r="D1" s="34" t="s">
        <v>64</v>
      </c>
      <c r="E1" s="34" t="s">
        <v>65</v>
      </c>
      <c r="F1" s="34" t="s">
        <v>66</v>
      </c>
    </row>
    <row r="2" spans="1:6" ht="16" x14ac:dyDescent="0.2">
      <c r="A2" t="s">
        <v>94</v>
      </c>
      <c r="B2" s="35">
        <v>5</v>
      </c>
      <c r="C2" s="36">
        <v>0</v>
      </c>
      <c r="D2">
        <v>0.13796675613316381</v>
      </c>
      <c r="E2">
        <v>25.165136318689076</v>
      </c>
      <c r="F2">
        <v>25.165136318689076</v>
      </c>
    </row>
    <row r="3" spans="1:6" ht="16" x14ac:dyDescent="0.2">
      <c r="A3" t="s">
        <v>94</v>
      </c>
      <c r="B3" s="35">
        <v>5</v>
      </c>
      <c r="C3" s="36">
        <v>10</v>
      </c>
      <c r="D3">
        <v>7.5340208127324948E-2</v>
      </c>
      <c r="F3">
        <v>27.093845646748594</v>
      </c>
    </row>
    <row r="4" spans="1:6" ht="16" x14ac:dyDescent="0.2">
      <c r="A4" t="s">
        <v>94</v>
      </c>
      <c r="B4" s="35">
        <v>5</v>
      </c>
      <c r="C4" s="36">
        <v>20</v>
      </c>
      <c r="D4">
        <v>6.0272166501859945E-2</v>
      </c>
      <c r="F4">
        <v>29.022554974808116</v>
      </c>
    </row>
    <row r="5" spans="1:6" ht="16" x14ac:dyDescent="0.2">
      <c r="A5" t="s">
        <v>94</v>
      </c>
      <c r="B5" s="35">
        <v>5</v>
      </c>
      <c r="C5" s="36">
        <v>30</v>
      </c>
      <c r="D5">
        <v>5.7917784997881042E-2</v>
      </c>
      <c r="E5">
        <v>30.951264302867628</v>
      </c>
      <c r="F5">
        <v>30.951264302867635</v>
      </c>
    </row>
    <row r="6" spans="1:6" ht="16" x14ac:dyDescent="0.2">
      <c r="A6" t="s">
        <v>94</v>
      </c>
      <c r="B6" s="35">
        <v>5</v>
      </c>
      <c r="C6" s="36">
        <v>40</v>
      </c>
      <c r="D6">
        <v>5.3209021989923236E-2</v>
      </c>
      <c r="F6">
        <v>18.132551678674034</v>
      </c>
    </row>
    <row r="7" spans="1:6" ht="16" x14ac:dyDescent="0.2">
      <c r="A7" t="s">
        <v>94</v>
      </c>
      <c r="B7" s="35">
        <v>5</v>
      </c>
      <c r="C7" s="36">
        <v>50</v>
      </c>
      <c r="D7">
        <v>1.1771907519894523E-2</v>
      </c>
      <c r="E7">
        <v>5.313839054480388</v>
      </c>
      <c r="F7">
        <v>5.3138390544804359</v>
      </c>
    </row>
    <row r="8" spans="1:6" ht="16" x14ac:dyDescent="0.2">
      <c r="A8" t="s">
        <v>94</v>
      </c>
      <c r="B8" s="35">
        <v>5</v>
      </c>
      <c r="C8" s="36">
        <v>60</v>
      </c>
      <c r="D8">
        <v>1.9305928332627009E-2</v>
      </c>
      <c r="F8">
        <v>5.4242006874794351</v>
      </c>
    </row>
    <row r="9" spans="1:6" ht="16" x14ac:dyDescent="0.2">
      <c r="A9" t="s">
        <v>94</v>
      </c>
      <c r="B9" s="35">
        <v>5</v>
      </c>
      <c r="C9" s="36">
        <v>70</v>
      </c>
      <c r="D9">
        <v>2.6369072844563721E-2</v>
      </c>
      <c r="F9">
        <v>5.5345623204784342</v>
      </c>
    </row>
    <row r="10" spans="1:6" ht="16" x14ac:dyDescent="0.2">
      <c r="A10" t="s">
        <v>94</v>
      </c>
      <c r="B10" s="35">
        <v>5</v>
      </c>
      <c r="C10" s="36">
        <v>80</v>
      </c>
      <c r="D10">
        <v>2.3543815039789046E-2</v>
      </c>
      <c r="F10">
        <v>5.6449239534774325</v>
      </c>
    </row>
    <row r="11" spans="1:6" ht="16" x14ac:dyDescent="0.2">
      <c r="A11" t="s">
        <v>94</v>
      </c>
      <c r="B11" s="35">
        <v>5</v>
      </c>
      <c r="C11" s="36">
        <v>90</v>
      </c>
      <c r="D11">
        <v>1.1771907519894523E-2</v>
      </c>
      <c r="E11">
        <v>5.7552855864764325</v>
      </c>
      <c r="F11">
        <v>5.7552855864764316</v>
      </c>
    </row>
    <row r="12" spans="1:6" ht="16" x14ac:dyDescent="0.2">
      <c r="A12" t="s">
        <v>94</v>
      </c>
      <c r="B12" s="35">
        <v>5</v>
      </c>
      <c r="C12" s="36">
        <v>100</v>
      </c>
      <c r="D12">
        <v>2.4485567641380605E-2</v>
      </c>
      <c r="F12">
        <v>7.7233870804996618</v>
      </c>
    </row>
    <row r="13" spans="1:6" ht="16" x14ac:dyDescent="0.2">
      <c r="A13" t="s">
        <v>94</v>
      </c>
      <c r="B13" s="35">
        <v>5</v>
      </c>
      <c r="C13" s="36">
        <v>110</v>
      </c>
      <c r="D13">
        <v>3.6257475161275116E-2</v>
      </c>
      <c r="F13">
        <v>9.6914885745228911</v>
      </c>
    </row>
    <row r="14" spans="1:6" ht="16" x14ac:dyDescent="0.2">
      <c r="A14" t="s">
        <v>94</v>
      </c>
      <c r="B14" s="35">
        <v>5</v>
      </c>
      <c r="C14" s="36">
        <v>120</v>
      </c>
      <c r="D14">
        <v>3.0136083250929972E-2</v>
      </c>
      <c r="F14">
        <v>11.659590068546121</v>
      </c>
    </row>
    <row r="15" spans="1:6" ht="16" x14ac:dyDescent="0.2">
      <c r="A15" t="s">
        <v>94</v>
      </c>
      <c r="B15" s="35">
        <v>5</v>
      </c>
      <c r="C15" s="36">
        <v>130</v>
      </c>
      <c r="D15">
        <v>3.814098036445826E-2</v>
      </c>
      <c r="F15">
        <v>13.627691562569352</v>
      </c>
    </row>
    <row r="16" spans="1:6" ht="16" x14ac:dyDescent="0.2">
      <c r="A16" t="s">
        <v>94</v>
      </c>
      <c r="B16" s="35">
        <v>5</v>
      </c>
      <c r="C16" s="36">
        <v>140</v>
      </c>
      <c r="D16">
        <v>3.814098036445826E-2</v>
      </c>
      <c r="F16">
        <v>15.59579305659258</v>
      </c>
    </row>
    <row r="17" spans="1:6" ht="16" x14ac:dyDescent="0.2">
      <c r="A17" t="s">
        <v>94</v>
      </c>
      <c r="B17" s="35">
        <v>5</v>
      </c>
      <c r="C17" s="36">
        <v>150</v>
      </c>
      <c r="D17">
        <v>2.6369072844563721E-2</v>
      </c>
      <c r="F17">
        <v>17.56389455061581</v>
      </c>
    </row>
    <row r="18" spans="1:6" ht="16" x14ac:dyDescent="0.2">
      <c r="A18" t="s">
        <v>94</v>
      </c>
      <c r="B18" s="35">
        <v>5</v>
      </c>
      <c r="C18" s="36">
        <v>160</v>
      </c>
      <c r="D18">
        <v>3.814098036445826E-2</v>
      </c>
      <c r="E18">
        <v>19.531996044639076</v>
      </c>
      <c r="F18">
        <v>19.53199604463904</v>
      </c>
    </row>
    <row r="19" spans="1:6" ht="16" x14ac:dyDescent="0.2">
      <c r="A19" t="s">
        <v>94</v>
      </c>
      <c r="B19" s="35">
        <v>5</v>
      </c>
      <c r="C19" s="36">
        <v>170</v>
      </c>
      <c r="D19">
        <v>4.614587747798652E-2</v>
      </c>
      <c r="F19">
        <v>22.363139803173681</v>
      </c>
    </row>
    <row r="20" spans="1:6" ht="16" x14ac:dyDescent="0.2">
      <c r="A20" t="s">
        <v>94</v>
      </c>
      <c r="B20" s="35">
        <v>5</v>
      </c>
      <c r="C20" s="36">
        <v>180</v>
      </c>
      <c r="D20">
        <v>4.473324857559919E-2</v>
      </c>
      <c r="F20">
        <v>25.194283561708321</v>
      </c>
    </row>
    <row r="21" spans="1:6" ht="16" x14ac:dyDescent="0.2">
      <c r="A21" t="s">
        <v>94</v>
      </c>
      <c r="B21" s="35">
        <v>5</v>
      </c>
      <c r="C21" s="36">
        <v>190</v>
      </c>
      <c r="D21">
        <v>5.5563403493902139E-2</v>
      </c>
      <c r="F21">
        <v>28.025427320242962</v>
      </c>
    </row>
    <row r="22" spans="1:6" ht="16" x14ac:dyDescent="0.2">
      <c r="A22" t="s">
        <v>94</v>
      </c>
      <c r="B22" s="35">
        <v>5</v>
      </c>
      <c r="C22" s="36">
        <v>200</v>
      </c>
      <c r="D22">
        <v>4.614587747798652E-2</v>
      </c>
      <c r="F22">
        <v>30.856571078777598</v>
      </c>
    </row>
    <row r="23" spans="1:6" ht="16" x14ac:dyDescent="0.2">
      <c r="A23" t="s">
        <v>94</v>
      </c>
      <c r="B23" s="35">
        <v>5</v>
      </c>
      <c r="C23" s="36">
        <v>210</v>
      </c>
      <c r="D23">
        <v>6.3097424306634634E-2</v>
      </c>
      <c r="E23">
        <v>33.687714837312235</v>
      </c>
      <c r="F23">
        <v>33.687714837312242</v>
      </c>
    </row>
    <row r="24" spans="1:6" ht="16" x14ac:dyDescent="0.2">
      <c r="A24" t="s">
        <v>94</v>
      </c>
      <c r="B24" s="35">
        <v>5</v>
      </c>
      <c r="C24" s="36">
        <v>220</v>
      </c>
      <c r="D24">
        <v>5.6505156095493711E-2</v>
      </c>
      <c r="F24">
        <v>28.776451476197202</v>
      </c>
    </row>
    <row r="25" spans="1:6" ht="16" x14ac:dyDescent="0.2">
      <c r="A25" t="s">
        <v>94</v>
      </c>
      <c r="B25" s="35">
        <v>5</v>
      </c>
      <c r="C25" s="36">
        <v>230</v>
      </c>
      <c r="D25">
        <v>4.5675001177190734E-2</v>
      </c>
      <c r="E25">
        <v>23.865188115082159</v>
      </c>
      <c r="F25">
        <v>23.865188115082162</v>
      </c>
    </row>
    <row r="26" spans="1:6" ht="16" x14ac:dyDescent="0.2">
      <c r="A26" t="s">
        <v>94</v>
      </c>
      <c r="B26" s="35">
        <v>5</v>
      </c>
      <c r="C26" s="36">
        <v>240</v>
      </c>
      <c r="D26">
        <v>4.2378867071620287E-2</v>
      </c>
      <c r="F26">
        <v>22.87234543485426</v>
      </c>
    </row>
    <row r="27" spans="1:6" ht="16" x14ac:dyDescent="0.2">
      <c r="A27" t="s">
        <v>94</v>
      </c>
      <c r="B27" s="35">
        <v>5</v>
      </c>
      <c r="C27" s="36">
        <v>250</v>
      </c>
      <c r="D27">
        <v>3.7199227762866688E-2</v>
      </c>
      <c r="F27">
        <v>21.879502754626355</v>
      </c>
    </row>
    <row r="28" spans="1:6" ht="16" x14ac:dyDescent="0.2">
      <c r="A28" t="s">
        <v>94</v>
      </c>
      <c r="B28" s="35">
        <v>5</v>
      </c>
      <c r="C28" s="36">
        <v>260</v>
      </c>
      <c r="D28">
        <v>4.0966238169232921E-2</v>
      </c>
      <c r="F28">
        <v>20.886660074398453</v>
      </c>
    </row>
    <row r="29" spans="1:6" ht="16" x14ac:dyDescent="0.2">
      <c r="A29" t="s">
        <v>94</v>
      </c>
      <c r="B29" s="35">
        <v>5</v>
      </c>
      <c r="C29" s="36">
        <v>270</v>
      </c>
      <c r="D29">
        <v>4.2849743372416073E-2</v>
      </c>
      <c r="F29">
        <v>19.893817394170551</v>
      </c>
    </row>
    <row r="30" spans="1:6" ht="16" x14ac:dyDescent="0.2">
      <c r="A30" t="s">
        <v>94</v>
      </c>
      <c r="B30" s="35">
        <v>5</v>
      </c>
      <c r="C30" s="36">
        <v>280</v>
      </c>
      <c r="D30">
        <v>4.2378867071620287E-2</v>
      </c>
      <c r="E30">
        <v>18.900974713942649</v>
      </c>
      <c r="F30">
        <v>18.900974713942645</v>
      </c>
    </row>
    <row r="31" spans="1:6" ht="16" x14ac:dyDescent="0.2">
      <c r="A31" t="s">
        <v>94</v>
      </c>
      <c r="B31" s="35">
        <v>5</v>
      </c>
      <c r="C31" s="36">
        <v>290</v>
      </c>
      <c r="D31">
        <v>4.8029382681169637E-2</v>
      </c>
      <c r="F31">
        <v>18.900974713942645</v>
      </c>
    </row>
    <row r="32" spans="1:6" ht="16" x14ac:dyDescent="0.2">
      <c r="A32" t="s">
        <v>94</v>
      </c>
      <c r="B32" s="37">
        <v>12</v>
      </c>
      <c r="C32" s="38">
        <v>0</v>
      </c>
      <c r="D32">
        <v>4.7558506380373879E-2</v>
      </c>
      <c r="E32">
        <v>19.522766869143474</v>
      </c>
      <c r="F32">
        <v>19.522766869143474</v>
      </c>
    </row>
    <row r="33" spans="1:6" ht="16" x14ac:dyDescent="0.2">
      <c r="A33" t="s">
        <v>94</v>
      </c>
      <c r="B33" s="35">
        <v>12</v>
      </c>
      <c r="C33" s="36">
        <v>10</v>
      </c>
      <c r="D33">
        <v>4.7087630079578092E-2</v>
      </c>
      <c r="F33">
        <v>17.122121768611386</v>
      </c>
    </row>
    <row r="34" spans="1:6" ht="16" x14ac:dyDescent="0.2">
      <c r="A34" t="s">
        <v>94</v>
      </c>
      <c r="B34" s="35">
        <v>12</v>
      </c>
      <c r="C34" s="36">
        <v>20</v>
      </c>
      <c r="D34">
        <v>3.0136083250929972E-2</v>
      </c>
      <c r="E34">
        <v>14.721476668079292</v>
      </c>
      <c r="F34">
        <v>14.721476668079294</v>
      </c>
    </row>
    <row r="35" spans="1:6" ht="16" x14ac:dyDescent="0.2">
      <c r="A35" t="s">
        <v>94</v>
      </c>
      <c r="B35" s="35">
        <v>12</v>
      </c>
      <c r="C35" s="36">
        <v>30</v>
      </c>
      <c r="D35">
        <v>3.2019588454113089E-2</v>
      </c>
      <c r="F35">
        <v>16.306822997598523</v>
      </c>
    </row>
    <row r="36" spans="1:6" ht="16" x14ac:dyDescent="0.2">
      <c r="A36" t="s">
        <v>94</v>
      </c>
      <c r="B36" s="35">
        <v>12</v>
      </c>
      <c r="C36" s="36">
        <v>40</v>
      </c>
      <c r="D36">
        <v>3.5786598860479357E-2</v>
      </c>
      <c r="F36">
        <v>17.892169327117756</v>
      </c>
    </row>
    <row r="37" spans="1:6" ht="16" x14ac:dyDescent="0.2">
      <c r="A37" t="s">
        <v>94</v>
      </c>
      <c r="B37" s="35">
        <v>12</v>
      </c>
      <c r="C37" s="36">
        <v>50</v>
      </c>
      <c r="D37">
        <v>3.7199227762866688E-2</v>
      </c>
      <c r="E37">
        <v>19.477515656636996</v>
      </c>
      <c r="F37">
        <v>19.477515656636985</v>
      </c>
    </row>
    <row r="38" spans="1:6" ht="16" x14ac:dyDescent="0.2">
      <c r="A38" t="s">
        <v>94</v>
      </c>
      <c r="B38" s="35">
        <v>12</v>
      </c>
      <c r="C38" s="36">
        <v>60</v>
      </c>
      <c r="D38">
        <v>3.2961341055704668E-2</v>
      </c>
      <c r="F38">
        <v>17.371615576588024</v>
      </c>
    </row>
    <row r="39" spans="1:6" ht="16" x14ac:dyDescent="0.2">
      <c r="A39" t="s">
        <v>94</v>
      </c>
      <c r="B39" s="35">
        <v>12</v>
      </c>
      <c r="C39" s="36">
        <v>70</v>
      </c>
      <c r="D39">
        <v>2.9194330649338414E-2</v>
      </c>
      <c r="E39">
        <v>15.265715496539055</v>
      </c>
      <c r="F39">
        <v>15.265715496539066</v>
      </c>
    </row>
    <row r="40" spans="1:6" ht="16" x14ac:dyDescent="0.2">
      <c r="A40" t="s">
        <v>94</v>
      </c>
      <c r="B40" s="35">
        <v>12</v>
      </c>
      <c r="C40" s="36">
        <v>80</v>
      </c>
      <c r="D40">
        <v>2.0718557235014354E-2</v>
      </c>
      <c r="F40">
        <v>13.255105083894467</v>
      </c>
    </row>
    <row r="41" spans="1:6" ht="16" x14ac:dyDescent="0.2">
      <c r="A41" t="s">
        <v>94</v>
      </c>
      <c r="B41" s="35">
        <v>12</v>
      </c>
      <c r="C41" s="36">
        <v>90</v>
      </c>
      <c r="D41">
        <v>1.6951546828648103E-2</v>
      </c>
      <c r="F41">
        <v>11.244494671249866</v>
      </c>
    </row>
    <row r="42" spans="1:6" ht="16" x14ac:dyDescent="0.2">
      <c r="A42" t="s">
        <v>94</v>
      </c>
      <c r="B42" s="35">
        <v>12</v>
      </c>
      <c r="C42" s="36">
        <v>100</v>
      </c>
      <c r="D42">
        <v>1.7422423129443892E-2</v>
      </c>
      <c r="E42">
        <v>9.2338842586052632</v>
      </c>
      <c r="F42">
        <v>9.233884258605265</v>
      </c>
    </row>
    <row r="43" spans="1:6" ht="16" x14ac:dyDescent="0.2">
      <c r="A43" t="s">
        <v>94</v>
      </c>
      <c r="B43" s="35">
        <v>12</v>
      </c>
      <c r="C43" s="36">
        <v>110</v>
      </c>
      <c r="D43">
        <v>2.0247680934218568E-2</v>
      </c>
      <c r="F43">
        <v>12.766900535229395</v>
      </c>
    </row>
    <row r="44" spans="1:6" ht="16" x14ac:dyDescent="0.2">
      <c r="A44" t="s">
        <v>94</v>
      </c>
      <c r="B44" s="35">
        <v>12</v>
      </c>
      <c r="C44" s="36">
        <v>120</v>
      </c>
      <c r="D44">
        <v>2.5427320242972163E-2</v>
      </c>
      <c r="F44">
        <v>16.299916811853524</v>
      </c>
    </row>
    <row r="45" spans="1:6" ht="16" x14ac:dyDescent="0.2">
      <c r="A45" t="s">
        <v>94</v>
      </c>
      <c r="B45" s="35">
        <v>12</v>
      </c>
      <c r="C45" s="36">
        <v>130</v>
      </c>
      <c r="D45">
        <v>3.5786598860479357E-2</v>
      </c>
      <c r="E45">
        <v>19.83293308847766</v>
      </c>
      <c r="F45">
        <v>19.832933088477656</v>
      </c>
    </row>
    <row r="46" spans="1:6" ht="16" x14ac:dyDescent="0.2">
      <c r="A46" t="s">
        <v>94</v>
      </c>
      <c r="B46" s="35">
        <v>12</v>
      </c>
      <c r="C46" s="36">
        <v>140</v>
      </c>
      <c r="D46">
        <v>2.0718557235014354E-2</v>
      </c>
      <c r="E46">
        <v>11.2605358572303</v>
      </c>
      <c r="F46">
        <v>11.2605358572303</v>
      </c>
    </row>
    <row r="47" spans="1:6" ht="16" x14ac:dyDescent="0.2">
      <c r="A47" t="s">
        <v>94</v>
      </c>
      <c r="B47" s="35">
        <v>12</v>
      </c>
      <c r="C47" s="36">
        <v>150</v>
      </c>
      <c r="D47">
        <v>2.307293873899326E-2</v>
      </c>
      <c r="F47">
        <v>11.429309695343028</v>
      </c>
    </row>
    <row r="48" spans="1:6" ht="16" x14ac:dyDescent="0.2">
      <c r="A48" t="s">
        <v>94</v>
      </c>
      <c r="B48" s="35">
        <v>12</v>
      </c>
      <c r="C48" s="36">
        <v>160</v>
      </c>
      <c r="D48">
        <v>2.2131186137401702E-2</v>
      </c>
      <c r="F48">
        <v>11.598083533455757</v>
      </c>
    </row>
    <row r="49" spans="1:6" ht="16" x14ac:dyDescent="0.2">
      <c r="A49" t="s">
        <v>94</v>
      </c>
      <c r="B49" s="35">
        <v>12</v>
      </c>
      <c r="C49" s="36">
        <v>170</v>
      </c>
      <c r="D49">
        <v>2.0718557235014354E-2</v>
      </c>
      <c r="F49">
        <v>11.766857371568484</v>
      </c>
    </row>
    <row r="50" spans="1:6" ht="16" x14ac:dyDescent="0.2">
      <c r="A50" t="s">
        <v>94</v>
      </c>
      <c r="B50" s="35">
        <v>12</v>
      </c>
      <c r="C50" s="36">
        <v>180</v>
      </c>
      <c r="D50">
        <v>2.307293873899326E-2</v>
      </c>
      <c r="E50">
        <v>11.935631209681212</v>
      </c>
      <c r="F50">
        <v>11.935631209681212</v>
      </c>
    </row>
    <row r="51" spans="1:6" ht="16" x14ac:dyDescent="0.2">
      <c r="A51" t="s">
        <v>94</v>
      </c>
      <c r="B51" s="35">
        <v>12</v>
      </c>
      <c r="C51" s="36">
        <v>190</v>
      </c>
      <c r="F51">
        <v>10.918004740154752</v>
      </c>
    </row>
    <row r="52" spans="1:6" ht="16" x14ac:dyDescent="0.2">
      <c r="A52" t="s">
        <v>94</v>
      </c>
      <c r="B52" s="35">
        <v>12</v>
      </c>
      <c r="C52" s="36">
        <v>200</v>
      </c>
      <c r="D52">
        <v>1.7422423129443892E-2</v>
      </c>
      <c r="F52">
        <v>9.9003782706282912</v>
      </c>
    </row>
    <row r="53" spans="1:6" ht="16" x14ac:dyDescent="0.2">
      <c r="A53" t="s">
        <v>94</v>
      </c>
      <c r="B53" s="35">
        <v>12</v>
      </c>
      <c r="C53" s="36">
        <v>210</v>
      </c>
      <c r="D53">
        <v>1.4126289023873428E-2</v>
      </c>
      <c r="F53">
        <v>8.8827518011018327</v>
      </c>
    </row>
    <row r="54" spans="1:6" ht="16" x14ac:dyDescent="0.2">
      <c r="A54" t="s">
        <v>94</v>
      </c>
      <c r="B54" s="35">
        <v>12</v>
      </c>
      <c r="C54" s="36">
        <v>220</v>
      </c>
      <c r="D54">
        <v>8.4757734143240428E-3</v>
      </c>
      <c r="F54">
        <v>7.8651253315753715</v>
      </c>
    </row>
    <row r="55" spans="1:6" ht="16" x14ac:dyDescent="0.2">
      <c r="A55" t="s">
        <v>94</v>
      </c>
      <c r="B55" s="35">
        <v>12</v>
      </c>
      <c r="C55" s="36">
        <v>230</v>
      </c>
      <c r="D55">
        <v>1.1301031219098735E-2</v>
      </c>
      <c r="F55">
        <v>6.8474988620489112</v>
      </c>
    </row>
    <row r="56" spans="1:6" ht="16" x14ac:dyDescent="0.2">
      <c r="A56" t="s">
        <v>94</v>
      </c>
      <c r="B56" s="35">
        <v>12</v>
      </c>
      <c r="C56" s="36">
        <v>240</v>
      </c>
      <c r="D56">
        <v>1.0830154918302947E-2</v>
      </c>
      <c r="E56">
        <v>5.8298723925224758</v>
      </c>
      <c r="F56">
        <v>5.8298723925224518</v>
      </c>
    </row>
    <row r="57" spans="1:6" ht="16" x14ac:dyDescent="0.2">
      <c r="A57" t="s">
        <v>94</v>
      </c>
      <c r="B57" s="35">
        <v>12</v>
      </c>
      <c r="C57" s="36">
        <v>250</v>
      </c>
      <c r="D57">
        <v>1.8364175731035451E-2</v>
      </c>
      <c r="F57">
        <v>12.286999105335012</v>
      </c>
    </row>
    <row r="58" spans="1:6" ht="16" x14ac:dyDescent="0.2">
      <c r="A58" t="s">
        <v>94</v>
      </c>
      <c r="B58" s="35">
        <v>12</v>
      </c>
      <c r="C58" s="36">
        <v>260</v>
      </c>
      <c r="D58">
        <v>3.4373969958091992E-2</v>
      </c>
      <c r="E58">
        <v>18.744125818147563</v>
      </c>
      <c r="F58">
        <v>18.744125818147573</v>
      </c>
    </row>
    <row r="59" spans="1:6" ht="16" x14ac:dyDescent="0.2">
      <c r="A59" t="s">
        <v>94</v>
      </c>
      <c r="B59" s="35">
        <v>12</v>
      </c>
      <c r="C59" s="36">
        <v>270</v>
      </c>
      <c r="D59">
        <v>2.5898196543767953E-2</v>
      </c>
      <c r="F59">
        <v>16.311751502880192</v>
      </c>
    </row>
    <row r="60" spans="1:6" ht="16" x14ac:dyDescent="0.2">
      <c r="A60" t="s">
        <v>94</v>
      </c>
      <c r="B60" s="35">
        <v>12</v>
      </c>
      <c r="C60" s="36">
        <v>280</v>
      </c>
      <c r="D60">
        <v>1.7893299430239661E-2</v>
      </c>
      <c r="F60">
        <v>13.879377187612814</v>
      </c>
    </row>
    <row r="61" spans="1:6" ht="16" x14ac:dyDescent="0.2">
      <c r="A61" t="s">
        <v>94</v>
      </c>
      <c r="B61" s="35">
        <v>12</v>
      </c>
      <c r="C61" s="36">
        <v>290</v>
      </c>
      <c r="D61">
        <v>2.0718557235014354E-2</v>
      </c>
      <c r="E61">
        <v>11.447002872345431</v>
      </c>
      <c r="F61">
        <v>11.447002872345433</v>
      </c>
    </row>
    <row r="62" spans="1:6" ht="16" x14ac:dyDescent="0.2">
      <c r="A62" t="s">
        <v>94</v>
      </c>
      <c r="B62" s="37">
        <v>13</v>
      </c>
      <c r="C62" s="38">
        <v>0</v>
      </c>
      <c r="D62">
        <v>9.8413146866318205E-2</v>
      </c>
      <c r="E62">
        <v>48.724349013514143</v>
      </c>
      <c r="F62">
        <v>48.724349013514143</v>
      </c>
    </row>
    <row r="63" spans="1:6" ht="16" x14ac:dyDescent="0.2">
      <c r="A63" t="s">
        <v>94</v>
      </c>
      <c r="B63" s="35">
        <v>13</v>
      </c>
      <c r="C63" s="36">
        <v>10</v>
      </c>
      <c r="D63">
        <v>6.403917690822622E-2</v>
      </c>
      <c r="F63">
        <v>41.95457220888072</v>
      </c>
    </row>
    <row r="64" spans="1:6" ht="16" x14ac:dyDescent="0.2">
      <c r="A64" t="s">
        <v>94</v>
      </c>
      <c r="B64" s="35">
        <v>13</v>
      </c>
      <c r="C64" s="36">
        <v>20</v>
      </c>
      <c r="D64">
        <v>5.3679898290719022E-2</v>
      </c>
      <c r="F64">
        <v>35.184795404247303</v>
      </c>
    </row>
    <row r="65" spans="1:6" ht="16" x14ac:dyDescent="0.2">
      <c r="A65" t="s">
        <v>94</v>
      </c>
      <c r="B65" s="35">
        <v>13</v>
      </c>
      <c r="C65" s="36">
        <v>30</v>
      </c>
      <c r="D65">
        <v>4.3791495974007617E-2</v>
      </c>
      <c r="F65">
        <v>28.415018599613884</v>
      </c>
    </row>
    <row r="66" spans="1:6" ht="16" x14ac:dyDescent="0.2">
      <c r="A66" t="s">
        <v>94</v>
      </c>
      <c r="B66" s="35">
        <v>13</v>
      </c>
      <c r="C66" s="36">
        <v>40</v>
      </c>
      <c r="D66">
        <v>3.7670104063662474E-2</v>
      </c>
      <c r="E66">
        <v>21.645241794980457</v>
      </c>
      <c r="F66">
        <v>21.645241794980464</v>
      </c>
    </row>
    <row r="67" spans="1:6" ht="16" x14ac:dyDescent="0.2">
      <c r="A67" t="s">
        <v>94</v>
      </c>
      <c r="B67" s="35">
        <v>13</v>
      </c>
      <c r="C67" s="36">
        <v>50</v>
      </c>
      <c r="D67">
        <v>4.473324857559919E-2</v>
      </c>
      <c r="F67">
        <v>23.880475898981334</v>
      </c>
    </row>
    <row r="68" spans="1:6" ht="16" x14ac:dyDescent="0.2">
      <c r="A68" t="s">
        <v>94</v>
      </c>
      <c r="B68" s="35">
        <v>13</v>
      </c>
      <c r="C68" s="36">
        <v>60</v>
      </c>
      <c r="D68">
        <v>4.473324857559919E-2</v>
      </c>
      <c r="F68">
        <v>26.115710002982205</v>
      </c>
    </row>
    <row r="69" spans="1:6" ht="16" x14ac:dyDescent="0.2">
      <c r="A69" t="s">
        <v>94</v>
      </c>
      <c r="B69" s="35">
        <v>13</v>
      </c>
      <c r="C69" s="36">
        <v>70</v>
      </c>
      <c r="D69">
        <v>5.038376418514854E-2</v>
      </c>
      <c r="E69">
        <v>28.350944106983086</v>
      </c>
      <c r="F69">
        <v>28.350944106983071</v>
      </c>
    </row>
    <row r="70" spans="1:6" ht="16" x14ac:dyDescent="0.2">
      <c r="A70" t="s">
        <v>94</v>
      </c>
      <c r="B70" s="35">
        <v>13</v>
      </c>
      <c r="C70" s="36">
        <v>80</v>
      </c>
      <c r="D70">
        <v>4.4262372274803403E-2</v>
      </c>
      <c r="F70">
        <v>26.745868060460502</v>
      </c>
    </row>
    <row r="71" spans="1:6" ht="16" x14ac:dyDescent="0.2">
      <c r="A71" t="s">
        <v>94</v>
      </c>
      <c r="B71" s="35">
        <v>13</v>
      </c>
      <c r="C71" s="36">
        <v>90</v>
      </c>
      <c r="D71">
        <v>3.3432217356500454E-2</v>
      </c>
      <c r="F71">
        <v>25.140792013937933</v>
      </c>
    </row>
    <row r="72" spans="1:6" ht="16" x14ac:dyDescent="0.2">
      <c r="A72" t="s">
        <v>94</v>
      </c>
      <c r="B72" s="35">
        <v>13</v>
      </c>
      <c r="C72" s="36">
        <v>100</v>
      </c>
      <c r="D72">
        <v>2.8723454348542628E-2</v>
      </c>
      <c r="F72">
        <v>23.535715967415364</v>
      </c>
    </row>
    <row r="73" spans="1:6" ht="16" x14ac:dyDescent="0.2">
      <c r="A73" t="s">
        <v>94</v>
      </c>
      <c r="B73" s="35">
        <v>13</v>
      </c>
      <c r="C73" s="36">
        <v>110</v>
      </c>
      <c r="D73">
        <v>3.6728351462070902E-2</v>
      </c>
      <c r="F73">
        <v>21.930639920892791</v>
      </c>
    </row>
    <row r="74" spans="1:6" ht="16" x14ac:dyDescent="0.2">
      <c r="A74" t="s">
        <v>94</v>
      </c>
      <c r="B74" s="35">
        <v>13</v>
      </c>
      <c r="C74" s="36">
        <v>120</v>
      </c>
      <c r="D74">
        <v>3.5786598860479357E-2</v>
      </c>
      <c r="F74">
        <v>20.325563874370221</v>
      </c>
    </row>
    <row r="75" spans="1:6" ht="16" x14ac:dyDescent="0.2">
      <c r="A75" t="s">
        <v>94</v>
      </c>
      <c r="B75" s="35">
        <v>13</v>
      </c>
      <c r="C75" s="36">
        <v>130</v>
      </c>
      <c r="D75">
        <v>3.2019588454113089E-2</v>
      </c>
      <c r="F75">
        <v>18.720487827847652</v>
      </c>
    </row>
    <row r="76" spans="1:6" ht="16" x14ac:dyDescent="0.2">
      <c r="A76" t="s">
        <v>94</v>
      </c>
      <c r="B76" s="35">
        <v>13</v>
      </c>
      <c r="C76" s="36">
        <v>140</v>
      </c>
      <c r="D76">
        <v>3.0606959551725762E-2</v>
      </c>
      <c r="E76">
        <v>17.115411781325047</v>
      </c>
      <c r="F76">
        <v>17.115411781325079</v>
      </c>
    </row>
    <row r="77" spans="1:6" ht="16" x14ac:dyDescent="0.2">
      <c r="A77" t="s">
        <v>94</v>
      </c>
      <c r="B77" s="35">
        <v>13</v>
      </c>
      <c r="C77" s="36">
        <v>150</v>
      </c>
      <c r="D77">
        <v>5.3679898290719022E-2</v>
      </c>
      <c r="F77">
        <v>21.823311516064749</v>
      </c>
    </row>
    <row r="78" spans="1:6" ht="16" x14ac:dyDescent="0.2">
      <c r="A78" t="s">
        <v>94</v>
      </c>
      <c r="B78" s="35">
        <v>13</v>
      </c>
      <c r="C78" s="36">
        <v>160</v>
      </c>
      <c r="D78">
        <v>4.3791495974007617E-2</v>
      </c>
      <c r="F78">
        <v>26.531211250804418</v>
      </c>
    </row>
    <row r="79" spans="1:6" ht="16" x14ac:dyDescent="0.2">
      <c r="A79" t="s">
        <v>94</v>
      </c>
      <c r="B79" s="35">
        <v>13</v>
      </c>
      <c r="C79" s="36">
        <v>170</v>
      </c>
      <c r="D79">
        <v>5.6034279794697925E-2</v>
      </c>
      <c r="E79">
        <v>31.239110985544091</v>
      </c>
      <c r="F79">
        <v>31.239110985544091</v>
      </c>
    </row>
    <row r="80" spans="1:6" ht="16" x14ac:dyDescent="0.2">
      <c r="A80" t="s">
        <v>94</v>
      </c>
      <c r="B80" s="35">
        <v>13</v>
      </c>
      <c r="C80" s="36">
        <v>180</v>
      </c>
      <c r="D80">
        <v>3.3903093657296206E-2</v>
      </c>
      <c r="F80">
        <v>27.453386609623362</v>
      </c>
    </row>
    <row r="81" spans="1:6" ht="16" x14ac:dyDescent="0.2">
      <c r="A81" t="s">
        <v>94</v>
      </c>
      <c r="B81" s="35">
        <v>13</v>
      </c>
      <c r="C81" s="36">
        <v>190</v>
      </c>
      <c r="D81">
        <v>3.4844846258887785E-2</v>
      </c>
      <c r="F81">
        <v>23.667662233702629</v>
      </c>
    </row>
    <row r="82" spans="1:6" ht="16" x14ac:dyDescent="0.2">
      <c r="A82" t="s">
        <v>94</v>
      </c>
      <c r="B82" s="35">
        <v>13</v>
      </c>
      <c r="C82" s="36">
        <v>200</v>
      </c>
      <c r="D82">
        <v>2.2131186137401702E-2</v>
      </c>
      <c r="F82">
        <v>19.881937857781899</v>
      </c>
    </row>
    <row r="83" spans="1:6" ht="16" x14ac:dyDescent="0.2">
      <c r="A83" t="s">
        <v>94</v>
      </c>
      <c r="B83" s="35">
        <v>13</v>
      </c>
      <c r="C83" s="36">
        <v>210</v>
      </c>
      <c r="D83">
        <v>3.1548712153317303E-2</v>
      </c>
      <c r="F83">
        <v>16.09621348186117</v>
      </c>
    </row>
    <row r="84" spans="1:6" ht="16" x14ac:dyDescent="0.2">
      <c r="A84" t="s">
        <v>94</v>
      </c>
      <c r="B84" s="35">
        <v>13</v>
      </c>
      <c r="C84" s="36">
        <v>220</v>
      </c>
      <c r="D84">
        <v>1.6951546828648103E-2</v>
      </c>
      <c r="F84">
        <v>12.310489105940441</v>
      </c>
    </row>
    <row r="85" spans="1:6" ht="16" x14ac:dyDescent="0.2">
      <c r="A85" t="s">
        <v>94</v>
      </c>
      <c r="B85" s="35">
        <v>13</v>
      </c>
      <c r="C85" s="36">
        <v>230</v>
      </c>
      <c r="D85">
        <v>1.6009794227056545E-2</v>
      </c>
      <c r="F85">
        <v>8.524764730019708</v>
      </c>
    </row>
    <row r="86" spans="1:6" ht="16" x14ac:dyDescent="0.2">
      <c r="A86" t="s">
        <v>94</v>
      </c>
      <c r="B86" s="35">
        <v>13</v>
      </c>
      <c r="C86" s="36">
        <v>240</v>
      </c>
      <c r="D86">
        <v>8.9466497151198393E-3</v>
      </c>
      <c r="E86">
        <v>4.7390403540989787</v>
      </c>
      <c r="F86">
        <v>4.7390403540989787</v>
      </c>
    </row>
    <row r="87" spans="1:6" ht="16" x14ac:dyDescent="0.2">
      <c r="A87" t="s">
        <v>94</v>
      </c>
      <c r="B87" s="35">
        <v>13</v>
      </c>
      <c r="C87" s="36">
        <v>250</v>
      </c>
      <c r="D87">
        <v>2.7781701746951069E-2</v>
      </c>
      <c r="F87">
        <v>10.998387248669779</v>
      </c>
    </row>
    <row r="88" spans="1:6" ht="16" x14ac:dyDescent="0.2">
      <c r="A88" t="s">
        <v>94</v>
      </c>
      <c r="B88" s="35">
        <v>13</v>
      </c>
      <c r="C88" s="36">
        <v>260</v>
      </c>
      <c r="D88">
        <v>3.8611856665254018E-2</v>
      </c>
      <c r="F88">
        <v>17.25773414324058</v>
      </c>
    </row>
    <row r="89" spans="1:6" ht="16" x14ac:dyDescent="0.2">
      <c r="A89" t="s">
        <v>94</v>
      </c>
      <c r="B89" s="35">
        <v>13</v>
      </c>
      <c r="C89" s="36">
        <v>270</v>
      </c>
      <c r="D89">
        <v>5.8388661298676828E-2</v>
      </c>
      <c r="F89">
        <v>23.51708103781138</v>
      </c>
    </row>
    <row r="90" spans="1:6" ht="16" x14ac:dyDescent="0.2">
      <c r="A90" t="s">
        <v>94</v>
      </c>
      <c r="B90" s="35">
        <v>13</v>
      </c>
      <c r="C90" s="36">
        <v>280</v>
      </c>
      <c r="D90">
        <v>5.5563403493902139E-2</v>
      </c>
      <c r="E90">
        <v>29.776427932382159</v>
      </c>
      <c r="F90">
        <v>29.77642793238218</v>
      </c>
    </row>
    <row r="91" spans="1:6" ht="16" x14ac:dyDescent="0.2">
      <c r="A91" t="s">
        <v>94</v>
      </c>
      <c r="B91" s="39">
        <v>13</v>
      </c>
      <c r="C91" s="40">
        <v>290</v>
      </c>
      <c r="D91">
        <v>4.9912887884352788E-2</v>
      </c>
      <c r="F91">
        <v>29.776427932382159</v>
      </c>
    </row>
    <row r="92" spans="1:6" ht="16" x14ac:dyDescent="0.2">
      <c r="A92" t="s">
        <v>97</v>
      </c>
      <c r="B92" s="35">
        <v>6</v>
      </c>
      <c r="C92" s="36">
        <v>0</v>
      </c>
      <c r="D92">
        <v>0.12195696190610726</v>
      </c>
      <c r="E92">
        <v>56.722182982530491</v>
      </c>
      <c r="F92">
        <v>56.722182982530491</v>
      </c>
    </row>
    <row r="93" spans="1:6" ht="16" x14ac:dyDescent="0.2">
      <c r="A93" t="s">
        <v>97</v>
      </c>
      <c r="B93" s="35">
        <v>6</v>
      </c>
      <c r="C93" s="36">
        <v>10</v>
      </c>
      <c r="D93">
        <v>0.10076752837029711</v>
      </c>
      <c r="F93">
        <v>50.649550313132742</v>
      </c>
    </row>
    <row r="94" spans="1:6" ht="16" x14ac:dyDescent="0.2">
      <c r="A94" t="s">
        <v>97</v>
      </c>
      <c r="B94" s="35">
        <v>6</v>
      </c>
      <c r="C94" s="36">
        <v>20</v>
      </c>
      <c r="D94">
        <v>8.664123934642369E-2</v>
      </c>
      <c r="E94">
        <v>44.576917643734994</v>
      </c>
      <c r="F94">
        <v>44.576917643734987</v>
      </c>
    </row>
    <row r="95" spans="1:6" ht="16" x14ac:dyDescent="0.2">
      <c r="A95" t="s">
        <v>97</v>
      </c>
      <c r="B95" s="35">
        <v>6</v>
      </c>
      <c r="C95" s="36">
        <v>30</v>
      </c>
      <c r="D95">
        <v>9.1350002354381496E-2</v>
      </c>
      <c r="F95">
        <v>35.776333757122003</v>
      </c>
    </row>
    <row r="96" spans="1:6" ht="16" x14ac:dyDescent="0.2">
      <c r="A96" t="s">
        <v>97</v>
      </c>
      <c r="B96" s="39">
        <v>6</v>
      </c>
      <c r="C96" s="40">
        <v>40</v>
      </c>
      <c r="D96">
        <v>0.22554974808117906</v>
      </c>
      <c r="E96">
        <v>26.97574987050902</v>
      </c>
      <c r="F96">
        <v>26.975749870509027</v>
      </c>
    </row>
    <row r="97" spans="1:6" ht="16" x14ac:dyDescent="0.2">
      <c r="A97" t="s">
        <v>97</v>
      </c>
      <c r="B97" s="35">
        <v>7</v>
      </c>
      <c r="C97" s="36">
        <v>0</v>
      </c>
      <c r="D97">
        <v>7.2985826623346045E-2</v>
      </c>
      <c r="F97">
        <v>44.743231153176055</v>
      </c>
    </row>
    <row r="98" spans="1:6" ht="16" x14ac:dyDescent="0.2">
      <c r="A98" t="s">
        <v>97</v>
      </c>
      <c r="B98" s="35">
        <v>7</v>
      </c>
      <c r="C98" s="36">
        <v>10</v>
      </c>
      <c r="D98">
        <v>9.1350002354381496E-2</v>
      </c>
      <c r="E98">
        <v>44.743231153176055</v>
      </c>
      <c r="F98">
        <v>44.743231153176055</v>
      </c>
    </row>
    <row r="99" spans="1:6" ht="16" x14ac:dyDescent="0.2">
      <c r="A99" t="s">
        <v>97</v>
      </c>
      <c r="B99" s="35">
        <v>7</v>
      </c>
      <c r="C99" s="36">
        <v>20</v>
      </c>
      <c r="D99">
        <v>6.8747939916184025E-2</v>
      </c>
      <c r="F99">
        <v>37.944467988259483</v>
      </c>
    </row>
    <row r="100" spans="1:6" ht="16" x14ac:dyDescent="0.2">
      <c r="A100" t="s">
        <v>97</v>
      </c>
      <c r="B100" s="35">
        <v>7</v>
      </c>
      <c r="C100" s="36">
        <v>30</v>
      </c>
      <c r="D100">
        <v>4.6616753778782306E-2</v>
      </c>
      <c r="F100">
        <v>31.145704823342914</v>
      </c>
    </row>
    <row r="101" spans="1:6" ht="16" x14ac:dyDescent="0.2">
      <c r="A101" t="s">
        <v>97</v>
      </c>
      <c r="B101" s="35">
        <v>7</v>
      </c>
      <c r="C101" s="36">
        <v>40</v>
      </c>
      <c r="D101">
        <v>4.5204124876394976E-2</v>
      </c>
      <c r="E101">
        <v>24.346941658426331</v>
      </c>
      <c r="F101">
        <v>24.346941658426346</v>
      </c>
    </row>
    <row r="102" spans="1:6" ht="16" x14ac:dyDescent="0.2">
      <c r="A102" t="s">
        <v>97</v>
      </c>
      <c r="B102" s="35">
        <v>7</v>
      </c>
      <c r="C102" s="36">
        <v>50</v>
      </c>
      <c r="D102">
        <v>7.8165465932099637E-2</v>
      </c>
      <c r="F102">
        <v>27.038545933983155</v>
      </c>
    </row>
    <row r="103" spans="1:6" ht="16" x14ac:dyDescent="0.2">
      <c r="A103" t="s">
        <v>97</v>
      </c>
      <c r="B103" s="35">
        <v>7</v>
      </c>
      <c r="C103" s="36">
        <v>60</v>
      </c>
      <c r="D103">
        <v>6.3568300607430434E-2</v>
      </c>
      <c r="F103">
        <v>29.730150209539964</v>
      </c>
    </row>
    <row r="104" spans="1:6" ht="16" x14ac:dyDescent="0.2">
      <c r="A104" t="s">
        <v>97</v>
      </c>
      <c r="B104" s="35">
        <v>7</v>
      </c>
      <c r="C104" s="36">
        <v>70</v>
      </c>
      <c r="D104">
        <v>7.2514950322550259E-2</v>
      </c>
      <c r="F104">
        <v>32.421754485096777</v>
      </c>
    </row>
    <row r="105" spans="1:6" ht="16" x14ac:dyDescent="0.2">
      <c r="A105" t="s">
        <v>97</v>
      </c>
      <c r="B105" s="35">
        <v>7</v>
      </c>
      <c r="C105" s="36">
        <v>80</v>
      </c>
      <c r="D105">
        <v>7.1573197720958687E-2</v>
      </c>
      <c r="F105">
        <v>35.113358760653583</v>
      </c>
    </row>
    <row r="106" spans="1:6" ht="16" x14ac:dyDescent="0.2">
      <c r="A106" t="s">
        <v>97</v>
      </c>
      <c r="B106" s="35">
        <v>7</v>
      </c>
      <c r="C106" s="36">
        <v>90</v>
      </c>
      <c r="D106">
        <v>7.1573197720958687E-2</v>
      </c>
      <c r="E106">
        <v>37.804963036210381</v>
      </c>
      <c r="F106">
        <v>37.804963036210395</v>
      </c>
    </row>
    <row r="107" spans="1:6" ht="16" x14ac:dyDescent="0.2">
      <c r="A107" t="s">
        <v>97</v>
      </c>
      <c r="B107" s="35">
        <v>7</v>
      </c>
      <c r="C107" s="36">
        <v>100</v>
      </c>
      <c r="D107">
        <v>6.403917690822622E-2</v>
      </c>
      <c r="F107">
        <v>37.689557981689646</v>
      </c>
    </row>
    <row r="108" spans="1:6" ht="16" x14ac:dyDescent="0.2">
      <c r="A108" t="s">
        <v>97</v>
      </c>
      <c r="B108" s="35">
        <v>7</v>
      </c>
      <c r="C108" s="36">
        <v>110</v>
      </c>
      <c r="D108">
        <v>7.6752837029712279E-2</v>
      </c>
      <c r="F108">
        <v>37.574152927168896</v>
      </c>
    </row>
    <row r="109" spans="1:6" ht="16" x14ac:dyDescent="0.2">
      <c r="A109" t="s">
        <v>97</v>
      </c>
      <c r="B109" s="35">
        <v>7</v>
      </c>
      <c r="C109" s="36">
        <v>120</v>
      </c>
      <c r="D109">
        <v>7.3456702924141831E-2</v>
      </c>
      <c r="F109">
        <v>37.458747872648146</v>
      </c>
    </row>
    <row r="110" spans="1:6" ht="16" x14ac:dyDescent="0.2">
      <c r="A110" t="s">
        <v>97</v>
      </c>
      <c r="B110" s="35">
        <v>7</v>
      </c>
      <c r="C110" s="36">
        <v>130</v>
      </c>
      <c r="D110">
        <v>6.8277063615388239E-2</v>
      </c>
      <c r="F110">
        <v>37.343342818127397</v>
      </c>
    </row>
    <row r="111" spans="1:6" ht="16" x14ac:dyDescent="0.2">
      <c r="A111" t="s">
        <v>97</v>
      </c>
      <c r="B111" s="35">
        <v>7</v>
      </c>
      <c r="C111" s="36">
        <v>140</v>
      </c>
      <c r="D111">
        <v>6.8747939916184025E-2</v>
      </c>
      <c r="F111">
        <v>37.227937763606647</v>
      </c>
    </row>
    <row r="112" spans="1:6" ht="16" x14ac:dyDescent="0.2">
      <c r="A112" t="s">
        <v>97</v>
      </c>
      <c r="B112" s="35">
        <v>7</v>
      </c>
      <c r="C112" s="36">
        <v>150</v>
      </c>
      <c r="D112">
        <v>8.2874228940057457E-2</v>
      </c>
      <c r="F112">
        <v>37.112532709085897</v>
      </c>
    </row>
    <row r="113" spans="1:6" ht="16" x14ac:dyDescent="0.2">
      <c r="A113" t="s">
        <v>97</v>
      </c>
      <c r="B113" s="39">
        <v>7</v>
      </c>
      <c r="C113" s="40">
        <v>160</v>
      </c>
      <c r="D113">
        <v>0.14502990064510052</v>
      </c>
      <c r="E113">
        <v>36.997127654565148</v>
      </c>
      <c r="F113">
        <v>36.997127654565148</v>
      </c>
    </row>
    <row r="114" spans="1:6" ht="16" x14ac:dyDescent="0.2">
      <c r="A114" t="s">
        <v>97</v>
      </c>
      <c r="B114" s="35">
        <v>8</v>
      </c>
      <c r="C114" s="36">
        <v>0</v>
      </c>
      <c r="D114">
        <v>6.8747939916184025E-2</v>
      </c>
      <c r="E114">
        <v>31.032820078165472</v>
      </c>
      <c r="F114">
        <v>31.032820078165472</v>
      </c>
    </row>
    <row r="115" spans="1:6" ht="16" x14ac:dyDescent="0.2">
      <c r="A115" t="s">
        <v>97</v>
      </c>
      <c r="B115" s="35">
        <v>8</v>
      </c>
      <c r="C115" s="36">
        <v>10</v>
      </c>
      <c r="D115">
        <v>0.12148608560531148</v>
      </c>
      <c r="E115">
        <v>60.670151151292551</v>
      </c>
      <c r="F115">
        <v>60.670151151292551</v>
      </c>
    </row>
    <row r="116" spans="1:6" ht="16" x14ac:dyDescent="0.2">
      <c r="A116" t="s">
        <v>97</v>
      </c>
      <c r="B116" s="35">
        <v>8</v>
      </c>
      <c r="C116" s="36">
        <v>20</v>
      </c>
      <c r="D116">
        <v>8.2874228940057457E-2</v>
      </c>
      <c r="F116">
        <v>55.351085369873331</v>
      </c>
    </row>
    <row r="117" spans="1:6" ht="16" x14ac:dyDescent="0.2">
      <c r="A117" t="s">
        <v>97</v>
      </c>
      <c r="B117" s="35">
        <v>8</v>
      </c>
      <c r="C117" s="36">
        <v>30</v>
      </c>
      <c r="D117">
        <v>5.5563403493902139E-2</v>
      </c>
      <c r="F117">
        <v>50.032019588454112</v>
      </c>
    </row>
    <row r="118" spans="1:6" ht="16" x14ac:dyDescent="0.2">
      <c r="A118" t="s">
        <v>97</v>
      </c>
      <c r="B118" s="35">
        <v>8</v>
      </c>
      <c r="C118" s="36">
        <v>40</v>
      </c>
      <c r="D118">
        <v>6.498092950981775E-2</v>
      </c>
      <c r="F118">
        <v>44.712953807034893</v>
      </c>
    </row>
    <row r="119" spans="1:6" ht="16" x14ac:dyDescent="0.2">
      <c r="A119" t="s">
        <v>97</v>
      </c>
      <c r="B119" s="35">
        <v>8</v>
      </c>
      <c r="C119" s="36">
        <v>50</v>
      </c>
      <c r="D119">
        <v>7.1573197720958687E-2</v>
      </c>
      <c r="E119">
        <v>39.393888025615659</v>
      </c>
      <c r="F119">
        <v>39.393888025615666</v>
      </c>
    </row>
    <row r="120" spans="1:6" ht="16" x14ac:dyDescent="0.2">
      <c r="A120" t="s">
        <v>97</v>
      </c>
      <c r="B120" s="35">
        <v>8</v>
      </c>
      <c r="C120" s="36">
        <v>60</v>
      </c>
      <c r="D120">
        <v>7.7223713330508065E-2</v>
      </c>
      <c r="F120">
        <v>38.737498234213867</v>
      </c>
    </row>
    <row r="121" spans="1:6" ht="16" x14ac:dyDescent="0.2">
      <c r="A121" t="s">
        <v>97</v>
      </c>
      <c r="B121" s="35">
        <v>8</v>
      </c>
      <c r="C121" s="36">
        <v>70</v>
      </c>
      <c r="D121">
        <v>7.8165465932099637E-2</v>
      </c>
      <c r="F121">
        <v>38.081108442812074</v>
      </c>
    </row>
    <row r="122" spans="1:6" ht="16" x14ac:dyDescent="0.2">
      <c r="A122" t="s">
        <v>97</v>
      </c>
      <c r="B122" s="35">
        <v>8</v>
      </c>
      <c r="C122" s="36">
        <v>80</v>
      </c>
      <c r="D122">
        <v>5.9330413900268407E-2</v>
      </c>
      <c r="F122">
        <v>37.424718651410274</v>
      </c>
    </row>
    <row r="123" spans="1:6" ht="16" x14ac:dyDescent="0.2">
      <c r="A123" t="s">
        <v>97</v>
      </c>
      <c r="B123" s="35">
        <v>8</v>
      </c>
      <c r="C123" s="36">
        <v>90</v>
      </c>
      <c r="D123">
        <v>6.7335311013796667E-2</v>
      </c>
      <c r="F123">
        <v>36.768328860008474</v>
      </c>
    </row>
    <row r="124" spans="1:6" ht="16" x14ac:dyDescent="0.2">
      <c r="A124" t="s">
        <v>97</v>
      </c>
      <c r="B124" s="35">
        <v>8</v>
      </c>
      <c r="C124" s="36">
        <v>100</v>
      </c>
      <c r="D124">
        <v>5.9330413900268407E-2</v>
      </c>
      <c r="F124">
        <v>36.111939068606674</v>
      </c>
    </row>
    <row r="125" spans="1:6" ht="16" x14ac:dyDescent="0.2">
      <c r="A125" t="s">
        <v>97</v>
      </c>
      <c r="B125" s="35">
        <v>8</v>
      </c>
      <c r="C125" s="36">
        <v>110</v>
      </c>
      <c r="D125">
        <v>5.9801290201064158E-2</v>
      </c>
      <c r="F125">
        <v>35.455549277204881</v>
      </c>
    </row>
    <row r="126" spans="1:6" ht="16" x14ac:dyDescent="0.2">
      <c r="A126" t="s">
        <v>97</v>
      </c>
      <c r="B126" s="35">
        <v>8</v>
      </c>
      <c r="C126" s="36">
        <v>120</v>
      </c>
      <c r="D126">
        <v>6.403917690822622E-2</v>
      </c>
      <c r="F126">
        <v>34.799159485803081</v>
      </c>
    </row>
    <row r="127" spans="1:6" ht="16" x14ac:dyDescent="0.2">
      <c r="A127" t="s">
        <v>97</v>
      </c>
      <c r="B127" s="39">
        <v>8</v>
      </c>
      <c r="C127" s="40">
        <v>130</v>
      </c>
      <c r="D127">
        <v>7.2985826623346045E-2</v>
      </c>
      <c r="E127">
        <v>34.142769694401281</v>
      </c>
      <c r="F127">
        <v>34.142769694401281</v>
      </c>
    </row>
    <row r="128" spans="1:6" ht="16" x14ac:dyDescent="0.2">
      <c r="A128" t="s">
        <v>95</v>
      </c>
      <c r="B128" s="35">
        <v>14</v>
      </c>
      <c r="C128" s="36">
        <v>0</v>
      </c>
      <c r="D128">
        <v>0.18599613881433344</v>
      </c>
      <c r="F128">
        <v>97.900268399491438</v>
      </c>
    </row>
    <row r="129" spans="1:6" ht="16" x14ac:dyDescent="0.2">
      <c r="A129" t="s">
        <v>95</v>
      </c>
      <c r="B129" s="35">
        <v>14</v>
      </c>
      <c r="C129" s="36">
        <v>10</v>
      </c>
      <c r="D129">
        <v>0.1751659838960305</v>
      </c>
      <c r="E129">
        <v>97.900268399491438</v>
      </c>
      <c r="F129">
        <v>97.900268399491438</v>
      </c>
    </row>
    <row r="130" spans="1:6" ht="16" x14ac:dyDescent="0.2">
      <c r="A130" t="s">
        <v>95</v>
      </c>
      <c r="B130" s="35">
        <v>14</v>
      </c>
      <c r="C130" s="36">
        <v>20</v>
      </c>
      <c r="D130">
        <v>0.13890850873475538</v>
      </c>
      <c r="F130">
        <v>86.298742760276838</v>
      </c>
    </row>
    <row r="131" spans="1:6" ht="16" x14ac:dyDescent="0.2">
      <c r="A131" t="s">
        <v>95</v>
      </c>
      <c r="B131" s="35">
        <v>14</v>
      </c>
      <c r="C131" s="36">
        <v>30</v>
      </c>
      <c r="D131">
        <v>9.7000517963930874E-2</v>
      </c>
      <c r="F131">
        <v>74.697217121062238</v>
      </c>
    </row>
    <row r="132" spans="1:6" ht="16" x14ac:dyDescent="0.2">
      <c r="A132" t="s">
        <v>95</v>
      </c>
      <c r="B132" s="35">
        <v>14</v>
      </c>
      <c r="C132" s="36">
        <v>40</v>
      </c>
      <c r="D132">
        <v>9.087912605358571E-2</v>
      </c>
      <c r="F132">
        <v>63.095691481847638</v>
      </c>
    </row>
    <row r="133" spans="1:6" ht="16" x14ac:dyDescent="0.2">
      <c r="A133" t="s">
        <v>95</v>
      </c>
      <c r="B133" s="35">
        <v>14</v>
      </c>
      <c r="C133" s="36">
        <v>50</v>
      </c>
      <c r="D133">
        <v>6.498092950981775E-2</v>
      </c>
      <c r="F133">
        <v>51.494165842633038</v>
      </c>
    </row>
    <row r="134" spans="1:6" ht="16" x14ac:dyDescent="0.2">
      <c r="A134" t="s">
        <v>95</v>
      </c>
      <c r="B134" s="35">
        <v>14</v>
      </c>
      <c r="C134" s="36">
        <v>60</v>
      </c>
      <c r="D134">
        <v>7.5340208127324948E-2</v>
      </c>
      <c r="E134">
        <v>39.892640203418559</v>
      </c>
      <c r="F134">
        <v>39.892640203418438</v>
      </c>
    </row>
    <row r="135" spans="1:6" ht="16" x14ac:dyDescent="0.2">
      <c r="A135" t="s">
        <v>95</v>
      </c>
      <c r="B135" s="35">
        <v>14</v>
      </c>
      <c r="C135" s="36">
        <v>70</v>
      </c>
      <c r="D135">
        <v>7.6281960728916492E-2</v>
      </c>
      <c r="F135">
        <v>39.179286151527883</v>
      </c>
    </row>
    <row r="136" spans="1:6" ht="16" x14ac:dyDescent="0.2">
      <c r="A136" t="s">
        <v>95</v>
      </c>
      <c r="B136" s="35">
        <v>14</v>
      </c>
      <c r="C136" s="36">
        <v>80</v>
      </c>
      <c r="D136">
        <v>8.7582991948015262E-2</v>
      </c>
      <c r="F136">
        <v>38.465932099637321</v>
      </c>
    </row>
    <row r="137" spans="1:6" ht="16" x14ac:dyDescent="0.2">
      <c r="A137" t="s">
        <v>95</v>
      </c>
      <c r="B137" s="35">
        <v>14</v>
      </c>
      <c r="C137" s="36">
        <v>90</v>
      </c>
      <c r="D137">
        <v>8.522861044403636E-2</v>
      </c>
      <c r="F137">
        <v>37.752578047746766</v>
      </c>
    </row>
    <row r="138" spans="1:6" ht="16" x14ac:dyDescent="0.2">
      <c r="A138" t="s">
        <v>95</v>
      </c>
      <c r="B138" s="35">
        <v>14</v>
      </c>
      <c r="C138" s="36">
        <v>100</v>
      </c>
      <c r="D138">
        <v>7.0631445119367142E-2</v>
      </c>
      <c r="F138">
        <v>37.039223995856204</v>
      </c>
    </row>
    <row r="139" spans="1:6" ht="16" x14ac:dyDescent="0.2">
      <c r="A139" t="s">
        <v>95</v>
      </c>
      <c r="B139" s="35">
        <v>14</v>
      </c>
      <c r="C139" s="36">
        <v>110</v>
      </c>
      <c r="D139">
        <v>7.2514950322550259E-2</v>
      </c>
      <c r="F139">
        <v>36.32586994396565</v>
      </c>
    </row>
    <row r="140" spans="1:6" ht="16" x14ac:dyDescent="0.2">
      <c r="A140" t="s">
        <v>95</v>
      </c>
      <c r="B140" s="35">
        <v>14</v>
      </c>
      <c r="C140" s="36">
        <v>120</v>
      </c>
      <c r="D140">
        <v>7.4869331826529162E-2</v>
      </c>
      <c r="F140">
        <v>35.612515892075088</v>
      </c>
    </row>
    <row r="141" spans="1:6" ht="16" x14ac:dyDescent="0.2">
      <c r="A141" t="s">
        <v>95</v>
      </c>
      <c r="B141" s="35">
        <v>14</v>
      </c>
      <c r="C141" s="36">
        <v>130</v>
      </c>
      <c r="D141">
        <v>8.2874228940057457E-2</v>
      </c>
      <c r="F141">
        <v>34.899161840184533</v>
      </c>
    </row>
    <row r="142" spans="1:6" ht="16" x14ac:dyDescent="0.2">
      <c r="A142" t="s">
        <v>95</v>
      </c>
      <c r="B142" s="35">
        <v>14</v>
      </c>
      <c r="C142" s="36">
        <v>140</v>
      </c>
      <c r="D142">
        <v>6.498092950981775E-2</v>
      </c>
      <c r="F142">
        <v>34.185807788293971</v>
      </c>
    </row>
    <row r="143" spans="1:6" ht="16" x14ac:dyDescent="0.2">
      <c r="A143" t="s">
        <v>95</v>
      </c>
      <c r="B143" s="35">
        <v>14</v>
      </c>
      <c r="C143" s="36">
        <v>150</v>
      </c>
      <c r="D143">
        <v>5.1796393087535905E-2</v>
      </c>
      <c r="F143">
        <v>33.472453736403416</v>
      </c>
    </row>
    <row r="144" spans="1:6" ht="16" x14ac:dyDescent="0.2">
      <c r="A144" t="s">
        <v>95</v>
      </c>
      <c r="B144" s="35">
        <v>14</v>
      </c>
      <c r="C144" s="36">
        <v>160</v>
      </c>
      <c r="D144">
        <v>6.0743042802655738E-2</v>
      </c>
      <c r="F144">
        <v>32.759099684512861</v>
      </c>
    </row>
    <row r="145" spans="1:6" ht="16" x14ac:dyDescent="0.2">
      <c r="A145" t="s">
        <v>95</v>
      </c>
      <c r="B145" s="35">
        <v>14</v>
      </c>
      <c r="C145" s="36">
        <v>170</v>
      </c>
      <c r="D145">
        <v>6.3097424306634634E-2</v>
      </c>
      <c r="F145">
        <v>32.0457456326223</v>
      </c>
    </row>
    <row r="146" spans="1:6" ht="16" x14ac:dyDescent="0.2">
      <c r="A146" t="s">
        <v>95</v>
      </c>
      <c r="B146" s="35">
        <v>14</v>
      </c>
      <c r="C146" s="36">
        <v>180</v>
      </c>
      <c r="D146">
        <v>5.9330413900268407E-2</v>
      </c>
      <c r="E146">
        <v>31.332391580731745</v>
      </c>
      <c r="F146">
        <v>31.332391580731741</v>
      </c>
    </row>
    <row r="147" spans="1:6" ht="16" x14ac:dyDescent="0.2">
      <c r="A147" t="s">
        <v>95</v>
      </c>
      <c r="B147" s="35">
        <v>14</v>
      </c>
      <c r="C147" s="36">
        <v>190</v>
      </c>
      <c r="D147">
        <v>4.8029382681169637E-2</v>
      </c>
      <c r="F147">
        <v>30.711258652352026</v>
      </c>
    </row>
    <row r="148" spans="1:6" ht="16" x14ac:dyDescent="0.2">
      <c r="A148" t="s">
        <v>95</v>
      </c>
      <c r="B148" s="35">
        <v>14</v>
      </c>
      <c r="C148" s="36">
        <v>200</v>
      </c>
      <c r="D148">
        <v>5.2267269388331691E-2</v>
      </c>
      <c r="F148">
        <v>30.090125723972307</v>
      </c>
    </row>
    <row r="149" spans="1:6" ht="16" x14ac:dyDescent="0.2">
      <c r="A149" t="s">
        <v>95</v>
      </c>
      <c r="B149" s="35">
        <v>14</v>
      </c>
      <c r="C149" s="36">
        <v>210</v>
      </c>
      <c r="D149">
        <v>5.5092527193106353E-2</v>
      </c>
      <c r="E149">
        <v>29.468992795592591</v>
      </c>
      <c r="F149">
        <v>29.468992795592591</v>
      </c>
    </row>
    <row r="150" spans="1:6" ht="16" x14ac:dyDescent="0.2">
      <c r="A150" t="s">
        <v>95</v>
      </c>
      <c r="B150" s="35">
        <v>14</v>
      </c>
      <c r="C150" s="36">
        <v>220</v>
      </c>
      <c r="D150">
        <v>6.168479540424731E-2</v>
      </c>
      <c r="F150">
        <v>30.853828224325461</v>
      </c>
    </row>
    <row r="151" spans="1:6" ht="16" x14ac:dyDescent="0.2">
      <c r="A151" t="s">
        <v>95</v>
      </c>
      <c r="B151" s="35">
        <v>14</v>
      </c>
      <c r="C151" s="36">
        <v>230</v>
      </c>
      <c r="D151">
        <v>6.7806187314592453E-2</v>
      </c>
      <c r="F151">
        <v>32.238663653058332</v>
      </c>
    </row>
    <row r="152" spans="1:6" ht="16" x14ac:dyDescent="0.2">
      <c r="A152" t="s">
        <v>95</v>
      </c>
      <c r="B152" s="35">
        <v>14</v>
      </c>
      <c r="C152" s="36">
        <v>240</v>
      </c>
      <c r="D152">
        <v>6.3097424306634634E-2</v>
      </c>
      <c r="F152">
        <v>33.623499081791202</v>
      </c>
    </row>
    <row r="153" spans="1:6" ht="16" x14ac:dyDescent="0.2">
      <c r="A153" t="s">
        <v>95</v>
      </c>
      <c r="B153" s="35">
        <v>14</v>
      </c>
      <c r="C153" s="36">
        <v>250</v>
      </c>
      <c r="D153">
        <v>6.7806187314592453E-2</v>
      </c>
      <c r="E153">
        <v>35.008334510524087</v>
      </c>
      <c r="F153">
        <v>35.008334510524072</v>
      </c>
    </row>
    <row r="154" spans="1:6" ht="16" x14ac:dyDescent="0.2">
      <c r="A154" t="s">
        <v>95</v>
      </c>
      <c r="B154" s="39">
        <v>14</v>
      </c>
      <c r="C154" s="40">
        <v>260</v>
      </c>
      <c r="D154">
        <v>8.3345105240853201E-2</v>
      </c>
      <c r="F154">
        <v>35.008334510524072</v>
      </c>
    </row>
    <row r="155" spans="1:6" ht="16" x14ac:dyDescent="0.2">
      <c r="A155" t="s">
        <v>95</v>
      </c>
      <c r="B155" s="35">
        <v>15</v>
      </c>
      <c r="C155" s="36">
        <v>0</v>
      </c>
      <c r="D155">
        <v>0.16151057117295284</v>
      </c>
      <c r="E155">
        <v>89.105382116118079</v>
      </c>
      <c r="F155">
        <v>89.105382116118079</v>
      </c>
    </row>
    <row r="156" spans="1:6" ht="16" x14ac:dyDescent="0.2">
      <c r="A156" t="s">
        <v>95</v>
      </c>
      <c r="B156" s="35">
        <v>15</v>
      </c>
      <c r="C156" s="36">
        <v>10</v>
      </c>
      <c r="D156">
        <v>0.14361727174271319</v>
      </c>
      <c r="F156">
        <v>82.149495377564293</v>
      </c>
    </row>
    <row r="157" spans="1:6" ht="16" x14ac:dyDescent="0.2">
      <c r="A157" t="s">
        <v>95</v>
      </c>
      <c r="B157" s="35">
        <v>15</v>
      </c>
      <c r="C157" s="36">
        <v>20</v>
      </c>
      <c r="D157">
        <v>0.13278711682441022</v>
      </c>
      <c r="F157">
        <v>75.19360863901052</v>
      </c>
    </row>
    <row r="158" spans="1:6" ht="16" x14ac:dyDescent="0.2">
      <c r="A158" t="s">
        <v>95</v>
      </c>
      <c r="B158" s="35">
        <v>15</v>
      </c>
      <c r="C158" s="36">
        <v>30</v>
      </c>
      <c r="D158">
        <v>0.11771907519894523</v>
      </c>
      <c r="F158">
        <v>68.237721900456734</v>
      </c>
    </row>
    <row r="159" spans="1:6" ht="16" x14ac:dyDescent="0.2">
      <c r="A159" t="s">
        <v>95</v>
      </c>
      <c r="B159" s="35">
        <v>15</v>
      </c>
      <c r="C159" s="36">
        <v>40</v>
      </c>
      <c r="D159">
        <v>0.1087724254838254</v>
      </c>
      <c r="F159">
        <v>61.281835161902961</v>
      </c>
    </row>
    <row r="160" spans="1:6" ht="16" x14ac:dyDescent="0.2">
      <c r="A160" t="s">
        <v>95</v>
      </c>
      <c r="B160" s="35">
        <v>15</v>
      </c>
      <c r="C160" s="36">
        <v>50</v>
      </c>
      <c r="D160">
        <v>9.0408249752789924E-2</v>
      </c>
      <c r="F160">
        <v>54.325948423349175</v>
      </c>
    </row>
    <row r="161" spans="1:6" ht="16" x14ac:dyDescent="0.2">
      <c r="A161" t="s">
        <v>95</v>
      </c>
      <c r="B161" s="35">
        <v>15</v>
      </c>
      <c r="C161" s="36">
        <v>60</v>
      </c>
      <c r="D161">
        <v>8.522861044403636E-2</v>
      </c>
      <c r="E161">
        <v>47.370061684795402</v>
      </c>
      <c r="F161">
        <v>47.370061684795395</v>
      </c>
    </row>
    <row r="162" spans="1:6" ht="16" x14ac:dyDescent="0.2">
      <c r="A162" t="s">
        <v>95</v>
      </c>
      <c r="B162" s="35">
        <v>15</v>
      </c>
      <c r="C162" s="36">
        <v>70</v>
      </c>
      <c r="D162">
        <v>8.4286857842444787E-2</v>
      </c>
      <c r="F162">
        <v>45.603753312186697</v>
      </c>
    </row>
    <row r="163" spans="1:6" ht="16" x14ac:dyDescent="0.2">
      <c r="A163" t="s">
        <v>95</v>
      </c>
      <c r="B163" s="35">
        <v>15</v>
      </c>
      <c r="C163" s="36">
        <v>80</v>
      </c>
      <c r="D163">
        <v>8.2403352639261671E-2</v>
      </c>
      <c r="F163">
        <v>43.837444939577992</v>
      </c>
    </row>
    <row r="164" spans="1:6" ht="16" x14ac:dyDescent="0.2">
      <c r="A164" t="s">
        <v>95</v>
      </c>
      <c r="B164" s="35">
        <v>15</v>
      </c>
      <c r="C164" s="36">
        <v>90</v>
      </c>
      <c r="D164">
        <v>7.2044074021754473E-2</v>
      </c>
      <c r="F164">
        <v>42.071136566969294</v>
      </c>
    </row>
    <row r="165" spans="1:6" ht="16" x14ac:dyDescent="0.2">
      <c r="A165" t="s">
        <v>95</v>
      </c>
      <c r="B165" s="35">
        <v>15</v>
      </c>
      <c r="C165" s="36">
        <v>100</v>
      </c>
      <c r="D165">
        <v>6.4510053209021964E-2</v>
      </c>
      <c r="F165">
        <v>40.304828194360596</v>
      </c>
    </row>
    <row r="166" spans="1:6" ht="16" x14ac:dyDescent="0.2">
      <c r="A166" t="s">
        <v>95</v>
      </c>
      <c r="B166" s="35">
        <v>15</v>
      </c>
      <c r="C166" s="36">
        <v>110</v>
      </c>
      <c r="D166">
        <v>6.5922682111409336E-2</v>
      </c>
      <c r="F166">
        <v>38.538519821751891</v>
      </c>
    </row>
    <row r="167" spans="1:6" ht="16" x14ac:dyDescent="0.2">
      <c r="A167" t="s">
        <v>95</v>
      </c>
      <c r="B167" s="35">
        <v>15</v>
      </c>
      <c r="C167" s="36">
        <v>120</v>
      </c>
      <c r="D167">
        <v>6.3097424306634634E-2</v>
      </c>
      <c r="F167">
        <v>36.772211449143192</v>
      </c>
    </row>
    <row r="168" spans="1:6" ht="16" x14ac:dyDescent="0.2">
      <c r="A168" t="s">
        <v>95</v>
      </c>
      <c r="B168" s="35">
        <v>15</v>
      </c>
      <c r="C168" s="36">
        <v>130</v>
      </c>
      <c r="D168">
        <v>6.7806187314592453E-2</v>
      </c>
      <c r="F168">
        <v>35.005903076534494</v>
      </c>
    </row>
    <row r="169" spans="1:6" ht="16" x14ac:dyDescent="0.2">
      <c r="A169" t="s">
        <v>95</v>
      </c>
      <c r="B169" s="35">
        <v>15</v>
      </c>
      <c r="C169" s="36">
        <v>140</v>
      </c>
      <c r="D169">
        <v>7.7694589631303851E-2</v>
      </c>
      <c r="F169">
        <v>33.239594703925796</v>
      </c>
    </row>
    <row r="170" spans="1:6" ht="16" x14ac:dyDescent="0.2">
      <c r="A170" t="s">
        <v>95</v>
      </c>
      <c r="B170" s="35">
        <v>15</v>
      </c>
      <c r="C170" s="36">
        <v>150</v>
      </c>
      <c r="D170">
        <v>6.4510053209021964E-2</v>
      </c>
      <c r="F170">
        <v>31.473286331317095</v>
      </c>
    </row>
    <row r="171" spans="1:6" ht="16" x14ac:dyDescent="0.2">
      <c r="A171" t="s">
        <v>95</v>
      </c>
      <c r="B171" s="35">
        <v>15</v>
      </c>
      <c r="C171" s="36">
        <v>160</v>
      </c>
      <c r="D171">
        <v>6.7335311013796667E-2</v>
      </c>
      <c r="F171">
        <v>29.706977958708393</v>
      </c>
    </row>
    <row r="172" spans="1:6" ht="16" x14ac:dyDescent="0.2">
      <c r="A172" t="s">
        <v>95</v>
      </c>
      <c r="B172" s="35">
        <v>15</v>
      </c>
      <c r="C172" s="36">
        <v>170</v>
      </c>
      <c r="D172">
        <v>5.2738145689127443E-2</v>
      </c>
      <c r="E172">
        <v>27.940669586099716</v>
      </c>
      <c r="F172">
        <v>27.940669586099695</v>
      </c>
    </row>
    <row r="173" spans="1:6" ht="16" x14ac:dyDescent="0.2">
      <c r="A173" t="s">
        <v>95</v>
      </c>
      <c r="B173" s="35">
        <v>15</v>
      </c>
      <c r="C173" s="36">
        <v>180</v>
      </c>
      <c r="D173">
        <v>5.8859537599472614E-2</v>
      </c>
      <c r="F173">
        <v>28.798158873663855</v>
      </c>
    </row>
    <row r="174" spans="1:6" ht="16" x14ac:dyDescent="0.2">
      <c r="A174" t="s">
        <v>95</v>
      </c>
      <c r="B174" s="35">
        <v>15</v>
      </c>
      <c r="C174" s="36">
        <v>190</v>
      </c>
      <c r="D174">
        <v>6.0743042802655738E-2</v>
      </c>
      <c r="F174">
        <v>29.655648161228015</v>
      </c>
    </row>
    <row r="175" spans="1:6" ht="16" x14ac:dyDescent="0.2">
      <c r="A175" t="s">
        <v>95</v>
      </c>
      <c r="B175" s="35">
        <v>15</v>
      </c>
      <c r="C175" s="36">
        <v>200</v>
      </c>
      <c r="D175">
        <v>4.7087630079578092E-2</v>
      </c>
      <c r="F175">
        <v>30.513137448792179</v>
      </c>
    </row>
    <row r="176" spans="1:6" ht="16" x14ac:dyDescent="0.2">
      <c r="A176" t="s">
        <v>95</v>
      </c>
      <c r="B176" s="35">
        <v>15</v>
      </c>
      <c r="C176" s="36">
        <v>210</v>
      </c>
      <c r="D176">
        <v>5.6505156095493711E-2</v>
      </c>
      <c r="F176">
        <v>31.370626736356339</v>
      </c>
    </row>
    <row r="177" spans="1:6" ht="16" x14ac:dyDescent="0.2">
      <c r="A177" t="s">
        <v>95</v>
      </c>
      <c r="B177" s="35">
        <v>15</v>
      </c>
      <c r="C177" s="36">
        <v>220</v>
      </c>
      <c r="D177">
        <v>6.498092950981775E-2</v>
      </c>
      <c r="F177">
        <v>32.228116023920499</v>
      </c>
    </row>
    <row r="178" spans="1:6" ht="16" x14ac:dyDescent="0.2">
      <c r="A178" t="s">
        <v>95</v>
      </c>
      <c r="B178" s="35">
        <v>15</v>
      </c>
      <c r="C178" s="36">
        <v>230</v>
      </c>
      <c r="D178">
        <v>6.2626548005838847E-2</v>
      </c>
      <c r="E178">
        <v>33.085605311484663</v>
      </c>
      <c r="F178">
        <v>33.085605311484663</v>
      </c>
    </row>
    <row r="179" spans="1:6" ht="16" x14ac:dyDescent="0.2">
      <c r="A179" t="s">
        <v>95</v>
      </c>
      <c r="B179" s="35">
        <v>15</v>
      </c>
      <c r="C179" s="36">
        <v>240</v>
      </c>
      <c r="D179">
        <v>6.498092950981775E-2</v>
      </c>
      <c r="F179">
        <v>34.924859914300505</v>
      </c>
    </row>
    <row r="180" spans="1:6" ht="16" x14ac:dyDescent="0.2">
      <c r="A180" t="s">
        <v>95</v>
      </c>
      <c r="B180" s="35">
        <v>15</v>
      </c>
      <c r="C180" s="36">
        <v>250</v>
      </c>
      <c r="D180">
        <v>5.5563403493902139E-2</v>
      </c>
      <c r="F180">
        <v>36.76411451711634</v>
      </c>
    </row>
    <row r="181" spans="1:6" ht="16" x14ac:dyDescent="0.2">
      <c r="A181" t="s">
        <v>95</v>
      </c>
      <c r="B181" s="35">
        <v>15</v>
      </c>
      <c r="C181" s="36">
        <v>260</v>
      </c>
      <c r="D181">
        <v>7.392757922493759E-2</v>
      </c>
      <c r="F181">
        <v>38.603369119932182</v>
      </c>
    </row>
    <row r="182" spans="1:6" ht="16" x14ac:dyDescent="0.2">
      <c r="A182" t="s">
        <v>95</v>
      </c>
      <c r="B182" s="39">
        <v>15</v>
      </c>
      <c r="C182" s="40">
        <v>270</v>
      </c>
      <c r="D182">
        <v>8.2874228940057457E-2</v>
      </c>
      <c r="E182">
        <v>40.442623722748039</v>
      </c>
      <c r="F182">
        <v>40.442623722748024</v>
      </c>
    </row>
    <row r="183" spans="1:6" ht="16" x14ac:dyDescent="0.2">
      <c r="A183" t="s">
        <v>95</v>
      </c>
      <c r="B183" s="35">
        <v>16</v>
      </c>
      <c r="C183" s="36">
        <v>0</v>
      </c>
      <c r="D183">
        <v>0.13608325092998069</v>
      </c>
      <c r="F183">
        <v>84.189857324480855</v>
      </c>
    </row>
    <row r="184" spans="1:6" ht="16" x14ac:dyDescent="0.2">
      <c r="A184" t="s">
        <v>95</v>
      </c>
      <c r="B184" s="35">
        <v>16</v>
      </c>
      <c r="C184" s="36">
        <v>10</v>
      </c>
      <c r="D184">
        <v>0.14832603475067099</v>
      </c>
      <c r="E184">
        <v>84.189857324480855</v>
      </c>
      <c r="F184">
        <v>84.189857324480855</v>
      </c>
    </row>
    <row r="185" spans="1:6" ht="16" x14ac:dyDescent="0.2">
      <c r="A185" t="s">
        <v>95</v>
      </c>
      <c r="B185" s="35">
        <v>16</v>
      </c>
      <c r="C185" s="36">
        <v>20</v>
      </c>
      <c r="D185">
        <v>0.11960258040212836</v>
      </c>
      <c r="F185">
        <v>77.809607053726978</v>
      </c>
    </row>
    <row r="186" spans="1:6" ht="16" x14ac:dyDescent="0.2">
      <c r="A186" t="s">
        <v>95</v>
      </c>
      <c r="B186" s="35">
        <v>16</v>
      </c>
      <c r="C186" s="36">
        <v>30</v>
      </c>
      <c r="D186">
        <v>0.10924330178462116</v>
      </c>
      <c r="F186">
        <v>71.429356782973116</v>
      </c>
    </row>
    <row r="187" spans="1:6" ht="16" x14ac:dyDescent="0.2">
      <c r="A187" t="s">
        <v>95</v>
      </c>
      <c r="B187" s="35">
        <v>16</v>
      </c>
      <c r="C187" s="36">
        <v>40</v>
      </c>
      <c r="D187">
        <v>0.11065593068700852</v>
      </c>
      <c r="F187">
        <v>65.04910651221924</v>
      </c>
    </row>
    <row r="188" spans="1:6" ht="16" x14ac:dyDescent="0.2">
      <c r="A188" t="s">
        <v>95</v>
      </c>
      <c r="B188" s="35">
        <v>16</v>
      </c>
      <c r="C188" s="36">
        <v>50</v>
      </c>
      <c r="D188">
        <v>9.7942270565522419E-2</v>
      </c>
      <c r="F188">
        <v>58.668856241465377</v>
      </c>
    </row>
    <row r="189" spans="1:6" ht="16" x14ac:dyDescent="0.2">
      <c r="A189" t="s">
        <v>95</v>
      </c>
      <c r="B189" s="35">
        <v>16</v>
      </c>
      <c r="C189" s="36">
        <v>60</v>
      </c>
      <c r="D189">
        <v>8.9466497151198379E-2</v>
      </c>
      <c r="F189">
        <v>52.288605970711501</v>
      </c>
    </row>
    <row r="190" spans="1:6" ht="16" x14ac:dyDescent="0.2">
      <c r="A190" t="s">
        <v>95</v>
      </c>
      <c r="B190" s="35">
        <v>16</v>
      </c>
      <c r="C190" s="36">
        <v>70</v>
      </c>
      <c r="D190">
        <v>7.6281960728916492E-2</v>
      </c>
      <c r="F190">
        <v>45.908355699957632</v>
      </c>
    </row>
    <row r="191" spans="1:6" ht="16" x14ac:dyDescent="0.2">
      <c r="A191" t="s">
        <v>95</v>
      </c>
      <c r="B191" s="35">
        <v>16</v>
      </c>
      <c r="C191" s="36">
        <v>80</v>
      </c>
      <c r="D191">
        <v>6.3097424306634634E-2</v>
      </c>
      <c r="F191">
        <v>39.528105429203762</v>
      </c>
    </row>
    <row r="192" spans="1:6" ht="16" x14ac:dyDescent="0.2">
      <c r="A192" t="s">
        <v>95</v>
      </c>
      <c r="B192" s="35">
        <v>16</v>
      </c>
      <c r="C192" s="36">
        <v>90</v>
      </c>
      <c r="D192">
        <v>5.9801290201064158E-2</v>
      </c>
      <c r="E192">
        <v>33.147855158449865</v>
      </c>
      <c r="F192">
        <v>33.147855158449893</v>
      </c>
    </row>
    <row r="193" spans="1:6" ht="16" x14ac:dyDescent="0.2">
      <c r="A193" t="s">
        <v>95</v>
      </c>
      <c r="B193" s="35">
        <v>16</v>
      </c>
      <c r="C193" s="36">
        <v>100</v>
      </c>
      <c r="D193">
        <v>8.0048971135282754E-2</v>
      </c>
      <c r="F193">
        <v>33.372977193891181</v>
      </c>
    </row>
    <row r="194" spans="1:6" ht="16" x14ac:dyDescent="0.2">
      <c r="A194" t="s">
        <v>95</v>
      </c>
      <c r="B194" s="35">
        <v>16</v>
      </c>
      <c r="C194" s="36">
        <v>110</v>
      </c>
      <c r="D194">
        <v>6.7806187314592453E-2</v>
      </c>
      <c r="F194">
        <v>33.598099229332469</v>
      </c>
    </row>
    <row r="195" spans="1:6" ht="16" x14ac:dyDescent="0.2">
      <c r="A195" t="s">
        <v>95</v>
      </c>
      <c r="B195" s="35">
        <v>16</v>
      </c>
      <c r="C195" s="36">
        <v>120</v>
      </c>
      <c r="D195">
        <v>6.5922682111409336E-2</v>
      </c>
      <c r="F195">
        <v>33.823221264773757</v>
      </c>
    </row>
    <row r="196" spans="1:6" ht="16" x14ac:dyDescent="0.2">
      <c r="A196" t="s">
        <v>95</v>
      </c>
      <c r="B196" s="35">
        <v>16</v>
      </c>
      <c r="C196" s="36">
        <v>130</v>
      </c>
      <c r="D196">
        <v>7.8636342232895395E-2</v>
      </c>
      <c r="F196">
        <v>34.048343300215038</v>
      </c>
    </row>
    <row r="197" spans="1:6" ht="16" x14ac:dyDescent="0.2">
      <c r="A197" t="s">
        <v>95</v>
      </c>
      <c r="B197" s="35">
        <v>16</v>
      </c>
      <c r="C197" s="36">
        <v>140</v>
      </c>
      <c r="D197">
        <v>6.7806187314592453E-2</v>
      </c>
      <c r="F197">
        <v>34.273465335656326</v>
      </c>
    </row>
    <row r="198" spans="1:6" ht="16" x14ac:dyDescent="0.2">
      <c r="A198" t="s">
        <v>95</v>
      </c>
      <c r="B198" s="35">
        <v>16</v>
      </c>
      <c r="C198" s="36">
        <v>150</v>
      </c>
      <c r="D198">
        <v>6.2626548005838847E-2</v>
      </c>
      <c r="F198">
        <v>34.498587371097614</v>
      </c>
    </row>
    <row r="199" spans="1:6" ht="16" x14ac:dyDescent="0.2">
      <c r="A199" t="s">
        <v>95</v>
      </c>
      <c r="B199" s="35">
        <v>16</v>
      </c>
      <c r="C199" s="36">
        <v>160</v>
      </c>
      <c r="D199">
        <v>7.0631445119367142E-2</v>
      </c>
      <c r="F199">
        <v>34.723709406538902</v>
      </c>
    </row>
    <row r="200" spans="1:6" ht="16" x14ac:dyDescent="0.2">
      <c r="A200" t="s">
        <v>95</v>
      </c>
      <c r="B200" s="35">
        <v>16</v>
      </c>
      <c r="C200" s="36">
        <v>170</v>
      </c>
      <c r="D200">
        <v>7.3456702924141831E-2</v>
      </c>
      <c r="F200">
        <v>34.94883144198019</v>
      </c>
    </row>
    <row r="201" spans="1:6" ht="16" x14ac:dyDescent="0.2">
      <c r="A201" t="s">
        <v>95</v>
      </c>
      <c r="B201" s="35">
        <v>16</v>
      </c>
      <c r="C201" s="36">
        <v>180</v>
      </c>
      <c r="D201">
        <v>8.0048971135282754E-2</v>
      </c>
      <c r="F201">
        <v>35.173953477421477</v>
      </c>
    </row>
    <row r="202" spans="1:6" ht="16" x14ac:dyDescent="0.2">
      <c r="A202" t="s">
        <v>95</v>
      </c>
      <c r="B202" s="35">
        <v>16</v>
      </c>
      <c r="C202" s="36">
        <v>190</v>
      </c>
      <c r="D202">
        <v>6.0743042802655738E-2</v>
      </c>
      <c r="F202">
        <v>35.399075512862765</v>
      </c>
    </row>
    <row r="203" spans="1:6" ht="16" x14ac:dyDescent="0.2">
      <c r="A203" t="s">
        <v>95</v>
      </c>
      <c r="B203" s="35">
        <v>16</v>
      </c>
      <c r="C203" s="36">
        <v>200</v>
      </c>
      <c r="D203">
        <v>6.3097424306634634E-2</v>
      </c>
      <c r="F203">
        <v>35.624197548304053</v>
      </c>
    </row>
    <row r="204" spans="1:6" ht="16" x14ac:dyDescent="0.2">
      <c r="A204" t="s">
        <v>95</v>
      </c>
      <c r="B204" s="35">
        <v>16</v>
      </c>
      <c r="C204" s="36">
        <v>210</v>
      </c>
      <c r="D204">
        <v>6.7335311013796667E-2</v>
      </c>
      <c r="E204">
        <v>35.849319583745341</v>
      </c>
      <c r="F204">
        <v>35.849319583745334</v>
      </c>
    </row>
    <row r="205" spans="1:6" ht="16" x14ac:dyDescent="0.2">
      <c r="A205" t="s">
        <v>95</v>
      </c>
      <c r="B205" s="35">
        <v>16</v>
      </c>
      <c r="C205" s="36">
        <v>220</v>
      </c>
      <c r="D205">
        <v>5.8388661298676828E-2</v>
      </c>
      <c r="F205">
        <v>34.009097330131361</v>
      </c>
    </row>
    <row r="206" spans="1:6" ht="16" x14ac:dyDescent="0.2">
      <c r="A206" t="s">
        <v>95</v>
      </c>
      <c r="B206" s="35">
        <v>16</v>
      </c>
      <c r="C206" s="36">
        <v>230</v>
      </c>
      <c r="D206">
        <v>5.9801290201064158E-2</v>
      </c>
      <c r="F206">
        <v>32.168875076517395</v>
      </c>
    </row>
    <row r="207" spans="1:6" ht="16" x14ac:dyDescent="0.2">
      <c r="A207" t="s">
        <v>95</v>
      </c>
      <c r="B207" s="35">
        <v>16</v>
      </c>
      <c r="C207" s="36">
        <v>240</v>
      </c>
      <c r="D207">
        <v>5.5092527193106353E-2</v>
      </c>
      <c r="F207">
        <v>30.328652822903422</v>
      </c>
    </row>
    <row r="208" spans="1:6" ht="16" x14ac:dyDescent="0.2">
      <c r="A208" t="s">
        <v>95</v>
      </c>
      <c r="B208" s="35">
        <v>16</v>
      </c>
      <c r="C208" s="36">
        <v>250</v>
      </c>
      <c r="D208">
        <v>5.4150774591514808E-2</v>
      </c>
      <c r="F208">
        <v>28.488430569289456</v>
      </c>
    </row>
    <row r="209" spans="1:6" ht="16" x14ac:dyDescent="0.2">
      <c r="A209" t="s">
        <v>95</v>
      </c>
      <c r="B209" s="35">
        <v>16</v>
      </c>
      <c r="C209" s="36">
        <v>260</v>
      </c>
      <c r="D209">
        <v>5.1325516786740112E-2</v>
      </c>
      <c r="E209">
        <v>26.648208315675465</v>
      </c>
      <c r="F209">
        <v>26.648208315675483</v>
      </c>
    </row>
    <row r="210" spans="1:6" ht="16" x14ac:dyDescent="0.2">
      <c r="A210" t="s">
        <v>95</v>
      </c>
      <c r="B210" s="35">
        <v>16</v>
      </c>
      <c r="C210" s="36">
        <v>270</v>
      </c>
      <c r="D210">
        <v>6.2626548005838847E-2</v>
      </c>
      <c r="F210">
        <v>27.936023606598553</v>
      </c>
    </row>
    <row r="211" spans="1:6" ht="16" x14ac:dyDescent="0.2">
      <c r="A211" t="s">
        <v>95</v>
      </c>
      <c r="B211" s="35">
        <v>16</v>
      </c>
      <c r="C211" s="36">
        <v>280</v>
      </c>
      <c r="D211">
        <v>7.7694589631303851E-2</v>
      </c>
      <c r="F211">
        <v>29.223838897521624</v>
      </c>
    </row>
    <row r="212" spans="1:6" ht="16" x14ac:dyDescent="0.2">
      <c r="A212" t="s">
        <v>95</v>
      </c>
      <c r="B212" s="39">
        <v>16</v>
      </c>
      <c r="C212" s="40">
        <v>290</v>
      </c>
      <c r="D212">
        <v>0.10735979658143804</v>
      </c>
      <c r="E212">
        <v>30.511654188444695</v>
      </c>
      <c r="F212">
        <v>30.511654188444695</v>
      </c>
    </row>
    <row r="213" spans="1:6" ht="16" x14ac:dyDescent="0.2">
      <c r="A213" t="s">
        <v>95</v>
      </c>
      <c r="B213" s="35">
        <v>17</v>
      </c>
      <c r="C213" s="36">
        <v>0</v>
      </c>
      <c r="D213">
        <v>0.18270000470876302</v>
      </c>
      <c r="E213">
        <v>98.731082544615546</v>
      </c>
      <c r="F213">
        <v>98.731082544615546</v>
      </c>
    </row>
    <row r="214" spans="1:6" ht="16" x14ac:dyDescent="0.2">
      <c r="A214" t="s">
        <v>95</v>
      </c>
      <c r="B214" s="35">
        <v>17</v>
      </c>
      <c r="C214" s="36">
        <v>10</v>
      </c>
      <c r="D214">
        <v>0.14738428214907942</v>
      </c>
      <c r="F214">
        <v>92.084880161981459</v>
      </c>
    </row>
    <row r="215" spans="1:6" ht="16" x14ac:dyDescent="0.2">
      <c r="A215" t="s">
        <v>95</v>
      </c>
      <c r="B215" s="35">
        <v>17</v>
      </c>
      <c r="C215" s="36">
        <v>20</v>
      </c>
      <c r="D215">
        <v>0.15868531336817815</v>
      </c>
      <c r="F215">
        <v>85.438677779347358</v>
      </c>
    </row>
    <row r="216" spans="1:6" ht="16" x14ac:dyDescent="0.2">
      <c r="A216" t="s">
        <v>95</v>
      </c>
      <c r="B216" s="35">
        <v>17</v>
      </c>
      <c r="C216" s="36">
        <v>30</v>
      </c>
      <c r="D216">
        <v>0.13137448792202289</v>
      </c>
      <c r="F216">
        <v>78.792475396713272</v>
      </c>
    </row>
    <row r="217" spans="1:6" ht="16" x14ac:dyDescent="0.2">
      <c r="A217" t="s">
        <v>95</v>
      </c>
      <c r="B217" s="35">
        <v>17</v>
      </c>
      <c r="C217" s="36">
        <v>40</v>
      </c>
      <c r="D217">
        <v>0.1064180439798465</v>
      </c>
      <c r="F217">
        <v>72.146273014079185</v>
      </c>
    </row>
    <row r="218" spans="1:6" ht="16" x14ac:dyDescent="0.2">
      <c r="A218" t="s">
        <v>95</v>
      </c>
      <c r="B218" s="35">
        <v>17</v>
      </c>
      <c r="C218" s="36">
        <v>50</v>
      </c>
      <c r="D218">
        <v>0.12007345670292414</v>
      </c>
      <c r="E218">
        <v>65.500070631445112</v>
      </c>
      <c r="F218">
        <v>65.500070631445098</v>
      </c>
    </row>
    <row r="219" spans="1:6" ht="16" x14ac:dyDescent="0.2">
      <c r="A219" t="s">
        <v>95</v>
      </c>
      <c r="B219" s="35">
        <v>17</v>
      </c>
      <c r="C219" s="36">
        <v>60</v>
      </c>
      <c r="D219">
        <v>0.11159768328860006</v>
      </c>
      <c r="F219">
        <v>63.176243113434076</v>
      </c>
    </row>
    <row r="220" spans="1:6" ht="16" x14ac:dyDescent="0.2">
      <c r="A220" t="s">
        <v>95</v>
      </c>
      <c r="B220" s="35">
        <v>17</v>
      </c>
      <c r="C220" s="36">
        <v>70</v>
      </c>
      <c r="D220">
        <v>0.11536469369496632</v>
      </c>
      <c r="F220">
        <v>60.852415595423061</v>
      </c>
    </row>
    <row r="221" spans="1:6" ht="16" x14ac:dyDescent="0.2">
      <c r="A221" t="s">
        <v>95</v>
      </c>
      <c r="B221" s="35">
        <v>17</v>
      </c>
      <c r="C221" s="36">
        <v>80</v>
      </c>
      <c r="D221">
        <v>9.9354899467909791E-2</v>
      </c>
      <c r="F221">
        <v>58.528588077412039</v>
      </c>
    </row>
    <row r="222" spans="1:6" ht="16" x14ac:dyDescent="0.2">
      <c r="A222" t="s">
        <v>95</v>
      </c>
      <c r="B222" s="35">
        <v>17</v>
      </c>
      <c r="C222" s="36">
        <v>90</v>
      </c>
      <c r="D222">
        <v>9.8413146866318205E-2</v>
      </c>
      <c r="F222">
        <v>56.204760559401016</v>
      </c>
    </row>
    <row r="223" spans="1:6" ht="16" x14ac:dyDescent="0.2">
      <c r="A223" t="s">
        <v>95</v>
      </c>
      <c r="B223" s="35">
        <v>17</v>
      </c>
      <c r="C223" s="36">
        <v>100</v>
      </c>
      <c r="D223">
        <v>9.2291754955973068E-2</v>
      </c>
      <c r="F223">
        <v>53.880933041389994</v>
      </c>
    </row>
    <row r="224" spans="1:6" ht="16" x14ac:dyDescent="0.2">
      <c r="A224" t="s">
        <v>95</v>
      </c>
      <c r="B224" s="35">
        <v>17</v>
      </c>
      <c r="C224" s="36">
        <v>110</v>
      </c>
      <c r="D224">
        <v>8.8995620850402593E-2</v>
      </c>
      <c r="F224">
        <v>51.557105523378979</v>
      </c>
    </row>
    <row r="225" spans="1:6" ht="16" x14ac:dyDescent="0.2">
      <c r="A225" t="s">
        <v>95</v>
      </c>
      <c r="B225" s="35">
        <v>17</v>
      </c>
      <c r="C225" s="36">
        <v>120</v>
      </c>
      <c r="D225">
        <v>8.8524744549606807E-2</v>
      </c>
      <c r="F225">
        <v>49.233278005367957</v>
      </c>
    </row>
    <row r="226" spans="1:6" ht="16" x14ac:dyDescent="0.2">
      <c r="A226" t="s">
        <v>95</v>
      </c>
      <c r="B226" s="35">
        <v>17</v>
      </c>
      <c r="C226" s="36">
        <v>130</v>
      </c>
      <c r="D226">
        <v>8.7582991948015262E-2</v>
      </c>
      <c r="E226">
        <v>46.909450487356978</v>
      </c>
      <c r="F226">
        <v>46.909450487356935</v>
      </c>
    </row>
    <row r="227" spans="1:6" ht="16" x14ac:dyDescent="0.2">
      <c r="A227" t="s">
        <v>95</v>
      </c>
      <c r="B227" s="35">
        <v>17</v>
      </c>
      <c r="C227" s="36">
        <v>140</v>
      </c>
      <c r="D227">
        <v>9.8884023167113991E-2</v>
      </c>
      <c r="F227">
        <v>45.563120968121645</v>
      </c>
    </row>
    <row r="228" spans="1:6" ht="16" x14ac:dyDescent="0.2">
      <c r="A228" t="s">
        <v>95</v>
      </c>
      <c r="B228" s="35">
        <v>17</v>
      </c>
      <c r="C228" s="36">
        <v>150</v>
      </c>
      <c r="D228">
        <v>8.522861044403636E-2</v>
      </c>
      <c r="F228">
        <v>44.216791448886354</v>
      </c>
    </row>
    <row r="229" spans="1:6" ht="16" x14ac:dyDescent="0.2">
      <c r="A229" t="s">
        <v>95</v>
      </c>
      <c r="B229" s="35">
        <v>17</v>
      </c>
      <c r="C229" s="36">
        <v>160</v>
      </c>
      <c r="D229">
        <v>8.0990723736874298E-2</v>
      </c>
      <c r="F229">
        <v>42.870461929651064</v>
      </c>
    </row>
    <row r="230" spans="1:6" ht="16" x14ac:dyDescent="0.2">
      <c r="A230" t="s">
        <v>95</v>
      </c>
      <c r="B230" s="35">
        <v>17</v>
      </c>
      <c r="C230" s="36">
        <v>170</v>
      </c>
      <c r="D230">
        <v>7.3456702924141831E-2</v>
      </c>
      <c r="F230">
        <v>41.524132410415774</v>
      </c>
    </row>
    <row r="231" spans="1:6" ht="16" x14ac:dyDescent="0.2">
      <c r="A231" t="s">
        <v>95</v>
      </c>
      <c r="B231" s="35">
        <v>17</v>
      </c>
      <c r="C231" s="36">
        <v>180</v>
      </c>
      <c r="D231">
        <v>7.392757922493759E-2</v>
      </c>
      <c r="F231">
        <v>40.177802891180484</v>
      </c>
    </row>
    <row r="232" spans="1:6" ht="16" x14ac:dyDescent="0.2">
      <c r="A232" t="s">
        <v>95</v>
      </c>
      <c r="B232" s="35">
        <v>17</v>
      </c>
      <c r="C232" s="36">
        <v>190</v>
      </c>
      <c r="D232">
        <v>8.0048971135282754E-2</v>
      </c>
      <c r="F232">
        <v>38.831473371945194</v>
      </c>
    </row>
    <row r="233" spans="1:6" ht="16" x14ac:dyDescent="0.2">
      <c r="A233" t="s">
        <v>95</v>
      </c>
      <c r="B233" s="35">
        <v>17</v>
      </c>
      <c r="C233" s="36">
        <v>200</v>
      </c>
      <c r="D233">
        <v>6.498092950981775E-2</v>
      </c>
      <c r="F233">
        <v>37.485143852709903</v>
      </c>
    </row>
    <row r="234" spans="1:6" ht="16" x14ac:dyDescent="0.2">
      <c r="A234" t="s">
        <v>95</v>
      </c>
      <c r="B234" s="35">
        <v>17</v>
      </c>
      <c r="C234" s="36">
        <v>210</v>
      </c>
      <c r="D234">
        <v>6.7335311013796667E-2</v>
      </c>
      <c r="F234">
        <v>36.138814333474613</v>
      </c>
    </row>
    <row r="235" spans="1:6" ht="16" x14ac:dyDescent="0.2">
      <c r="A235" t="s">
        <v>95</v>
      </c>
      <c r="B235" s="35">
        <v>17</v>
      </c>
      <c r="C235" s="36">
        <v>220</v>
      </c>
      <c r="D235">
        <v>6.403917690822622E-2</v>
      </c>
      <c r="E235">
        <v>34.792484814239309</v>
      </c>
      <c r="F235">
        <v>34.792484814239323</v>
      </c>
    </row>
    <row r="236" spans="1:6" ht="16" x14ac:dyDescent="0.2">
      <c r="A236" t="s">
        <v>95</v>
      </c>
      <c r="B236" s="35">
        <v>17</v>
      </c>
      <c r="C236" s="36">
        <v>230</v>
      </c>
      <c r="D236">
        <v>8.1932476338465871E-2</v>
      </c>
      <c r="F236">
        <v>35.410254340470495</v>
      </c>
    </row>
    <row r="237" spans="1:6" ht="16" x14ac:dyDescent="0.2">
      <c r="A237" t="s">
        <v>95</v>
      </c>
      <c r="B237" s="35">
        <v>17</v>
      </c>
      <c r="C237" s="36">
        <v>240</v>
      </c>
      <c r="D237">
        <v>5.4621650892310594E-2</v>
      </c>
      <c r="F237">
        <v>36.028023866701666</v>
      </c>
    </row>
    <row r="238" spans="1:6" ht="16" x14ac:dyDescent="0.2">
      <c r="A238" t="s">
        <v>95</v>
      </c>
      <c r="B238" s="35">
        <v>17</v>
      </c>
      <c r="C238" s="36">
        <v>250</v>
      </c>
      <c r="D238">
        <v>6.7806187314592453E-2</v>
      </c>
      <c r="F238">
        <v>36.645793392932838</v>
      </c>
    </row>
    <row r="239" spans="1:6" ht="16" x14ac:dyDescent="0.2">
      <c r="A239" t="s">
        <v>95</v>
      </c>
      <c r="B239" s="35">
        <v>17</v>
      </c>
      <c r="C239" s="36">
        <v>260</v>
      </c>
      <c r="D239">
        <v>7.0631445119367142E-2</v>
      </c>
      <c r="F239">
        <v>37.263562919164009</v>
      </c>
    </row>
    <row r="240" spans="1:6" ht="16" x14ac:dyDescent="0.2">
      <c r="A240" t="s">
        <v>95</v>
      </c>
      <c r="B240" s="35">
        <v>17</v>
      </c>
      <c r="C240" s="36">
        <v>270</v>
      </c>
      <c r="D240">
        <v>7.7694589631303851E-2</v>
      </c>
      <c r="F240">
        <v>37.881332445395181</v>
      </c>
    </row>
    <row r="241" spans="1:6" ht="16" x14ac:dyDescent="0.2">
      <c r="A241" t="s">
        <v>95</v>
      </c>
      <c r="B241" s="35">
        <v>17</v>
      </c>
      <c r="C241" s="36">
        <v>280</v>
      </c>
      <c r="D241">
        <v>7.9107218533691182E-2</v>
      </c>
      <c r="F241">
        <v>38.499101971626345</v>
      </c>
    </row>
    <row r="242" spans="1:6" ht="16" x14ac:dyDescent="0.2">
      <c r="A242" t="s">
        <v>95</v>
      </c>
      <c r="B242" s="39">
        <v>17</v>
      </c>
      <c r="C242" s="40">
        <v>290</v>
      </c>
      <c r="D242">
        <v>8.2403352639261671E-2</v>
      </c>
      <c r="E242">
        <v>39.116871497857517</v>
      </c>
      <c r="F242">
        <v>39.116871497857517</v>
      </c>
    </row>
    <row r="243" spans="1:6" ht="16" x14ac:dyDescent="0.2">
      <c r="A243" t="s">
        <v>95</v>
      </c>
      <c r="B243" s="35">
        <v>18</v>
      </c>
      <c r="C243" s="36">
        <v>0</v>
      </c>
      <c r="D243">
        <v>0.21048170645571407</v>
      </c>
      <c r="E243">
        <v>117.17516598389602</v>
      </c>
      <c r="F243">
        <v>117.17516598389602</v>
      </c>
    </row>
    <row r="244" spans="1:6" ht="16" x14ac:dyDescent="0.2">
      <c r="A244" t="s">
        <v>95</v>
      </c>
      <c r="B244" s="35">
        <v>18</v>
      </c>
      <c r="C244" s="36">
        <v>10</v>
      </c>
      <c r="D244">
        <v>0.14173376653953007</v>
      </c>
      <c r="F244">
        <v>103.60644943573323</v>
      </c>
    </row>
    <row r="245" spans="1:6" ht="16" x14ac:dyDescent="0.2">
      <c r="A245" t="s">
        <v>95</v>
      </c>
      <c r="B245" s="35">
        <v>18</v>
      </c>
      <c r="C245" s="36">
        <v>20</v>
      </c>
      <c r="D245">
        <v>0.14926778735226254</v>
      </c>
      <c r="F245">
        <v>90.037732887570428</v>
      </c>
    </row>
    <row r="246" spans="1:6" ht="16" x14ac:dyDescent="0.2">
      <c r="A246" t="s">
        <v>95</v>
      </c>
      <c r="B246" s="35">
        <v>18</v>
      </c>
      <c r="C246" s="36">
        <v>30</v>
      </c>
      <c r="D246">
        <v>0.13137448792202289</v>
      </c>
      <c r="F246">
        <v>76.469016339407617</v>
      </c>
    </row>
    <row r="247" spans="1:6" ht="16" x14ac:dyDescent="0.2">
      <c r="A247" t="s">
        <v>95</v>
      </c>
      <c r="B247" s="35">
        <v>18</v>
      </c>
      <c r="C247" s="36">
        <v>40</v>
      </c>
      <c r="D247">
        <v>0.11065593068700852</v>
      </c>
      <c r="F247">
        <v>62.900299791244819</v>
      </c>
    </row>
    <row r="248" spans="1:6" ht="16" x14ac:dyDescent="0.2">
      <c r="A248" t="s">
        <v>95</v>
      </c>
      <c r="B248" s="35">
        <v>18</v>
      </c>
      <c r="C248" s="36">
        <v>50</v>
      </c>
      <c r="D248">
        <v>9.2762631256768827E-2</v>
      </c>
      <c r="F248">
        <v>49.331583243082022</v>
      </c>
    </row>
    <row r="249" spans="1:6" ht="16" x14ac:dyDescent="0.2">
      <c r="A249" t="s">
        <v>95</v>
      </c>
      <c r="B249" s="35">
        <v>18</v>
      </c>
      <c r="C249" s="36">
        <v>60</v>
      </c>
      <c r="D249">
        <v>6.545180581061355E-2</v>
      </c>
      <c r="E249">
        <v>35.762866694919246</v>
      </c>
      <c r="F249">
        <v>35.762866694919211</v>
      </c>
    </row>
    <row r="250" spans="1:6" ht="16" x14ac:dyDescent="0.2">
      <c r="A250" t="s">
        <v>95</v>
      </c>
      <c r="B250" s="35">
        <v>18</v>
      </c>
      <c r="C250" s="36">
        <v>70</v>
      </c>
      <c r="D250">
        <v>6.968969251777557E-2</v>
      </c>
      <c r="F250">
        <v>36.678641050995871</v>
      </c>
    </row>
    <row r="251" spans="1:6" ht="16" x14ac:dyDescent="0.2">
      <c r="A251" t="s">
        <v>95</v>
      </c>
      <c r="B251" s="35">
        <v>18</v>
      </c>
      <c r="C251" s="36">
        <v>80</v>
      </c>
      <c r="D251">
        <v>6.4510053209021964E-2</v>
      </c>
      <c r="F251">
        <v>37.594415407072532</v>
      </c>
    </row>
    <row r="252" spans="1:6" ht="16" x14ac:dyDescent="0.2">
      <c r="A252" t="s">
        <v>95</v>
      </c>
      <c r="B252" s="35">
        <v>18</v>
      </c>
      <c r="C252" s="36">
        <v>90</v>
      </c>
      <c r="D252">
        <v>5.5092527193106353E-2</v>
      </c>
      <c r="F252">
        <v>38.510189763149192</v>
      </c>
    </row>
    <row r="253" spans="1:6" ht="16" x14ac:dyDescent="0.2">
      <c r="A253" t="s">
        <v>95</v>
      </c>
      <c r="B253" s="35">
        <v>18</v>
      </c>
      <c r="C253" s="36">
        <v>100</v>
      </c>
      <c r="D253">
        <v>6.2155671705043061E-2</v>
      </c>
      <c r="F253">
        <v>39.425964119225853</v>
      </c>
    </row>
    <row r="254" spans="1:6" ht="16" x14ac:dyDescent="0.2">
      <c r="A254" t="s">
        <v>95</v>
      </c>
      <c r="B254" s="35">
        <v>18</v>
      </c>
      <c r="C254" s="36">
        <v>110</v>
      </c>
      <c r="D254">
        <v>7.6281960728916492E-2</v>
      </c>
      <c r="F254">
        <v>40.341738475302513</v>
      </c>
    </row>
    <row r="255" spans="1:6" ht="16" x14ac:dyDescent="0.2">
      <c r="A255" t="s">
        <v>95</v>
      </c>
      <c r="B255" s="35">
        <v>18</v>
      </c>
      <c r="C255" s="36">
        <v>120</v>
      </c>
      <c r="D255">
        <v>8.2874228940057457E-2</v>
      </c>
      <c r="F255">
        <v>41.257512831379174</v>
      </c>
    </row>
    <row r="256" spans="1:6" ht="16" x14ac:dyDescent="0.2">
      <c r="A256" t="s">
        <v>95</v>
      </c>
      <c r="B256" s="35">
        <v>18</v>
      </c>
      <c r="C256" s="36">
        <v>130</v>
      </c>
      <c r="D256">
        <v>8.664123934642369E-2</v>
      </c>
      <c r="F256">
        <v>42.173287187455841</v>
      </c>
    </row>
    <row r="257" spans="1:6" ht="16" x14ac:dyDescent="0.2">
      <c r="A257" t="s">
        <v>95</v>
      </c>
      <c r="B257" s="35">
        <v>18</v>
      </c>
      <c r="C257" s="36">
        <v>140</v>
      </c>
      <c r="D257">
        <v>8.9466497151198379E-2</v>
      </c>
      <c r="F257">
        <v>43.089061543532502</v>
      </c>
    </row>
    <row r="258" spans="1:6" ht="16" x14ac:dyDescent="0.2">
      <c r="A258" t="s">
        <v>95</v>
      </c>
      <c r="B258" s="35">
        <v>18</v>
      </c>
      <c r="C258" s="36">
        <v>150</v>
      </c>
      <c r="D258">
        <v>7.9107218533691182E-2</v>
      </c>
      <c r="F258">
        <v>44.004835899609162</v>
      </c>
    </row>
    <row r="259" spans="1:6" ht="16" x14ac:dyDescent="0.2">
      <c r="A259" t="s">
        <v>95</v>
      </c>
      <c r="B259" s="35">
        <v>18</v>
      </c>
      <c r="C259" s="36">
        <v>160</v>
      </c>
      <c r="D259">
        <v>8.6170363045627904E-2</v>
      </c>
      <c r="E259">
        <v>44.920610255685823</v>
      </c>
      <c r="F259">
        <v>44.920610255685823</v>
      </c>
    </row>
    <row r="260" spans="1:6" ht="16" x14ac:dyDescent="0.2">
      <c r="A260" t="s">
        <v>95</v>
      </c>
      <c r="B260" s="35">
        <v>18</v>
      </c>
      <c r="C260" s="36">
        <v>170</v>
      </c>
      <c r="D260">
        <v>7.9107218533691182E-2</v>
      </c>
      <c r="F260">
        <v>43.19732332982791</v>
      </c>
    </row>
    <row r="261" spans="1:6" ht="16" x14ac:dyDescent="0.2">
      <c r="A261" t="s">
        <v>95</v>
      </c>
      <c r="B261" s="35">
        <v>18</v>
      </c>
      <c r="C261" s="36">
        <v>180</v>
      </c>
      <c r="D261">
        <v>6.968969251777557E-2</v>
      </c>
      <c r="F261">
        <v>41.474036403970004</v>
      </c>
    </row>
    <row r="262" spans="1:6" ht="16" x14ac:dyDescent="0.2">
      <c r="A262" t="s">
        <v>95</v>
      </c>
      <c r="B262" s="35">
        <v>18</v>
      </c>
      <c r="C262" s="36">
        <v>190</v>
      </c>
      <c r="D262">
        <v>5.4150774591514808E-2</v>
      </c>
      <c r="F262">
        <v>39.750749478112091</v>
      </c>
    </row>
    <row r="263" spans="1:6" ht="16" x14ac:dyDescent="0.2">
      <c r="A263" t="s">
        <v>95</v>
      </c>
      <c r="B263" s="35">
        <v>18</v>
      </c>
      <c r="C263" s="36">
        <v>200</v>
      </c>
      <c r="D263">
        <v>5.6976032396289497E-2</v>
      </c>
      <c r="F263">
        <v>38.027462552254185</v>
      </c>
    </row>
    <row r="264" spans="1:6" ht="16" x14ac:dyDescent="0.2">
      <c r="A264" t="s">
        <v>95</v>
      </c>
      <c r="B264" s="35">
        <v>18</v>
      </c>
      <c r="C264" s="36">
        <v>210</v>
      </c>
      <c r="D264">
        <v>6.7806187314592453E-2</v>
      </c>
      <c r="F264">
        <v>36.304175626396272</v>
      </c>
    </row>
    <row r="265" spans="1:6" ht="16" x14ac:dyDescent="0.2">
      <c r="A265" t="s">
        <v>95</v>
      </c>
      <c r="B265" s="35">
        <v>18</v>
      </c>
      <c r="C265" s="36">
        <v>220</v>
      </c>
      <c r="D265">
        <v>5.7917784997881042E-2</v>
      </c>
      <c r="F265">
        <v>34.580888700538367</v>
      </c>
    </row>
    <row r="266" spans="1:6" ht="16" x14ac:dyDescent="0.2">
      <c r="A266" t="s">
        <v>95</v>
      </c>
      <c r="B266" s="35">
        <v>18</v>
      </c>
      <c r="C266" s="36">
        <v>230</v>
      </c>
      <c r="D266">
        <v>6.0743042802655738E-2</v>
      </c>
      <c r="F266">
        <v>32.857601774680454</v>
      </c>
    </row>
    <row r="267" spans="1:6" ht="16" x14ac:dyDescent="0.2">
      <c r="A267" t="s">
        <v>95</v>
      </c>
      <c r="B267" s="35">
        <v>18</v>
      </c>
      <c r="C267" s="36">
        <v>240</v>
      </c>
      <c r="D267">
        <v>6.4510053209021964E-2</v>
      </c>
      <c r="F267">
        <v>31.134314848822541</v>
      </c>
    </row>
    <row r="268" spans="1:6" ht="16" x14ac:dyDescent="0.2">
      <c r="A268" t="s">
        <v>95</v>
      </c>
      <c r="B268" s="35">
        <v>18</v>
      </c>
      <c r="C268" s="36">
        <v>250</v>
      </c>
      <c r="D268">
        <v>5.6976032396289497E-2</v>
      </c>
      <c r="E268">
        <v>29.411027922964639</v>
      </c>
      <c r="F268">
        <v>29.411027922964635</v>
      </c>
    </row>
    <row r="269" spans="1:6" ht="16" x14ac:dyDescent="0.2">
      <c r="A269" t="s">
        <v>95</v>
      </c>
      <c r="B269" s="35">
        <v>18</v>
      </c>
      <c r="C269" s="36">
        <v>260</v>
      </c>
      <c r="D269">
        <v>7.6281960728916492E-2</v>
      </c>
      <c r="F269">
        <v>29.411027922964635</v>
      </c>
    </row>
    <row r="270" spans="1:6" ht="16" x14ac:dyDescent="0.2">
      <c r="A270" t="s">
        <v>95</v>
      </c>
      <c r="B270" s="35">
        <v>18</v>
      </c>
      <c r="C270" s="36">
        <v>270</v>
      </c>
      <c r="D270">
        <v>7.7694589631303851E-2</v>
      </c>
      <c r="F270">
        <v>29.411027922964635</v>
      </c>
    </row>
    <row r="271" spans="1:6" ht="16" x14ac:dyDescent="0.2">
      <c r="A271" t="s">
        <v>95</v>
      </c>
      <c r="B271" s="39">
        <v>18</v>
      </c>
      <c r="C271" s="41">
        <v>280</v>
      </c>
      <c r="D271">
        <v>5.7446908697085255E-2</v>
      </c>
      <c r="F271">
        <v>14.705513961482318</v>
      </c>
    </row>
    <row r="272" spans="1:6" ht="16" x14ac:dyDescent="0.2">
      <c r="A272" t="s">
        <v>96</v>
      </c>
      <c r="B272" s="35">
        <v>2</v>
      </c>
      <c r="C272" s="36">
        <v>0</v>
      </c>
      <c r="D272">
        <v>0.1309036116212271</v>
      </c>
      <c r="E272">
        <v>72.625323727456788</v>
      </c>
      <c r="F272">
        <v>72.625323727456788</v>
      </c>
    </row>
    <row r="273" spans="1:6" ht="16" x14ac:dyDescent="0.2">
      <c r="A273" t="s">
        <v>96</v>
      </c>
      <c r="B273" s="35">
        <v>2</v>
      </c>
      <c r="C273" s="36">
        <v>10</v>
      </c>
      <c r="D273">
        <v>0.10265103357348022</v>
      </c>
      <c r="F273">
        <v>60.324951735179184</v>
      </c>
    </row>
    <row r="274" spans="1:6" ht="16" x14ac:dyDescent="0.2">
      <c r="A274" t="s">
        <v>96</v>
      </c>
      <c r="B274" s="35">
        <v>2</v>
      </c>
      <c r="C274" s="36">
        <v>20</v>
      </c>
      <c r="D274">
        <v>8.8053868248811021E-2</v>
      </c>
      <c r="E274">
        <v>48.02457974290153</v>
      </c>
      <c r="F274">
        <v>48.024579742901587</v>
      </c>
    </row>
    <row r="275" spans="1:6" ht="16" x14ac:dyDescent="0.2">
      <c r="A275" t="s">
        <v>96</v>
      </c>
      <c r="B275" s="35">
        <v>2</v>
      </c>
      <c r="C275" s="36">
        <v>30</v>
      </c>
      <c r="D275">
        <v>6.403917690822622E-2</v>
      </c>
      <c r="F275">
        <v>39.289918538399988</v>
      </c>
    </row>
    <row r="276" spans="1:6" ht="16" x14ac:dyDescent="0.2">
      <c r="A276" t="s">
        <v>96</v>
      </c>
      <c r="B276" s="35">
        <v>2</v>
      </c>
      <c r="C276" s="36">
        <v>40</v>
      </c>
      <c r="D276">
        <v>7.1102321420162928E-2</v>
      </c>
      <c r="F276">
        <v>30.555257333898385</v>
      </c>
    </row>
    <row r="277" spans="1:6" ht="16" x14ac:dyDescent="0.2">
      <c r="A277" t="s">
        <v>96</v>
      </c>
      <c r="B277" s="35">
        <v>2</v>
      </c>
      <c r="C277" s="36">
        <v>50</v>
      </c>
      <c r="D277">
        <v>4.3320619673211824E-2</v>
      </c>
      <c r="E277">
        <v>21.820596129396797</v>
      </c>
      <c r="F277">
        <v>21.820596129396783</v>
      </c>
    </row>
    <row r="278" spans="1:6" ht="16" x14ac:dyDescent="0.2">
      <c r="A278" t="s">
        <v>96</v>
      </c>
      <c r="B278" s="35">
        <v>2</v>
      </c>
      <c r="C278" s="36">
        <v>60</v>
      </c>
      <c r="D278">
        <v>5.1796393087535905E-2</v>
      </c>
      <c r="F278">
        <v>30.665850481078603</v>
      </c>
    </row>
    <row r="279" spans="1:6" ht="16" x14ac:dyDescent="0.2">
      <c r="A279" t="s">
        <v>96</v>
      </c>
      <c r="B279" s="35">
        <v>2</v>
      </c>
      <c r="C279" s="36">
        <v>70</v>
      </c>
      <c r="D279">
        <v>0.11065593068700852</v>
      </c>
      <c r="F279">
        <v>39.511104832760424</v>
      </c>
    </row>
    <row r="280" spans="1:6" ht="16" x14ac:dyDescent="0.2">
      <c r="A280" t="s">
        <v>96</v>
      </c>
      <c r="B280" s="39">
        <v>2</v>
      </c>
      <c r="C280" s="40">
        <v>80</v>
      </c>
      <c r="D280">
        <v>0.21283608795969297</v>
      </c>
      <c r="E280">
        <v>48.35635918444224</v>
      </c>
      <c r="F280">
        <v>48.35635918444224</v>
      </c>
    </row>
    <row r="281" spans="1:6" ht="16" x14ac:dyDescent="0.2">
      <c r="A281" t="s">
        <v>96</v>
      </c>
      <c r="B281" s="35">
        <v>3</v>
      </c>
      <c r="C281" s="36">
        <v>0</v>
      </c>
      <c r="D281">
        <v>8.5699486744832104E-2</v>
      </c>
      <c r="E281">
        <v>43.158261524697451</v>
      </c>
      <c r="F281">
        <v>43.158261524697451</v>
      </c>
    </row>
    <row r="282" spans="1:6" ht="16" x14ac:dyDescent="0.2">
      <c r="A282" t="s">
        <v>96</v>
      </c>
      <c r="B282" s="35">
        <v>3</v>
      </c>
      <c r="C282" s="36">
        <v>10</v>
      </c>
      <c r="D282">
        <v>7.0631445119367142E-2</v>
      </c>
      <c r="F282">
        <v>43.992164618354749</v>
      </c>
    </row>
    <row r="283" spans="1:6" ht="16" x14ac:dyDescent="0.2">
      <c r="A283" t="s">
        <v>96</v>
      </c>
      <c r="B283" s="35">
        <v>3</v>
      </c>
      <c r="C283" s="36">
        <v>20</v>
      </c>
      <c r="D283">
        <v>7.2514950322550259E-2</v>
      </c>
      <c r="F283">
        <v>44.826067712012048</v>
      </c>
    </row>
    <row r="284" spans="1:6" ht="16" x14ac:dyDescent="0.2">
      <c r="A284" t="s">
        <v>96</v>
      </c>
      <c r="B284" s="35">
        <v>3</v>
      </c>
      <c r="C284" s="36">
        <v>30</v>
      </c>
      <c r="D284">
        <v>6.6864434713000867E-2</v>
      </c>
      <c r="F284">
        <v>45.659970805669346</v>
      </c>
    </row>
    <row r="285" spans="1:6" ht="16" x14ac:dyDescent="0.2">
      <c r="A285" t="s">
        <v>96</v>
      </c>
      <c r="B285" s="35">
        <v>3</v>
      </c>
      <c r="C285" s="36">
        <v>40</v>
      </c>
      <c r="D285">
        <v>5.6034279794697925E-2</v>
      </c>
      <c r="F285">
        <v>46.493873899326644</v>
      </c>
    </row>
    <row r="286" spans="1:6" ht="16" x14ac:dyDescent="0.2">
      <c r="A286" t="s">
        <v>96</v>
      </c>
      <c r="B286" s="35">
        <v>3</v>
      </c>
      <c r="C286" s="36">
        <v>50</v>
      </c>
      <c r="D286">
        <v>8.9466497151198379E-2</v>
      </c>
      <c r="E286">
        <v>47.327776992983942</v>
      </c>
      <c r="F286">
        <v>47.327776992983942</v>
      </c>
    </row>
    <row r="287" spans="1:6" ht="16" x14ac:dyDescent="0.2">
      <c r="A287" t="s">
        <v>96</v>
      </c>
      <c r="B287" s="35">
        <v>3</v>
      </c>
      <c r="C287" s="36">
        <v>60</v>
      </c>
      <c r="D287">
        <v>5.6034279794697925E-2</v>
      </c>
      <c r="F287">
        <v>37.575316664312282</v>
      </c>
    </row>
    <row r="288" spans="1:6" ht="16" x14ac:dyDescent="0.2">
      <c r="A288" t="s">
        <v>96</v>
      </c>
      <c r="B288" s="35">
        <v>3</v>
      </c>
      <c r="C288" s="36">
        <v>70</v>
      </c>
      <c r="D288">
        <v>3.814098036445826E-2</v>
      </c>
      <c r="F288">
        <v>27.822856335640623</v>
      </c>
    </row>
    <row r="289" spans="1:6" ht="16" x14ac:dyDescent="0.2">
      <c r="A289" t="s">
        <v>96</v>
      </c>
      <c r="B289" s="35">
        <v>3</v>
      </c>
      <c r="C289" s="36">
        <v>80</v>
      </c>
      <c r="D289">
        <v>3.4373969958091992E-2</v>
      </c>
      <c r="E289">
        <v>18.070396006968959</v>
      </c>
      <c r="F289">
        <v>18.070396006968963</v>
      </c>
    </row>
    <row r="290" spans="1:6" ht="16" x14ac:dyDescent="0.2">
      <c r="A290" t="s">
        <v>96</v>
      </c>
      <c r="B290" s="35">
        <v>3</v>
      </c>
      <c r="C290" s="36">
        <v>90</v>
      </c>
      <c r="D290">
        <v>5.7446908697085255E-2</v>
      </c>
      <c r="F290">
        <v>22.275074163017372</v>
      </c>
    </row>
    <row r="291" spans="1:6" ht="16" x14ac:dyDescent="0.2">
      <c r="A291" t="s">
        <v>96</v>
      </c>
      <c r="B291" s="35">
        <v>3</v>
      </c>
      <c r="C291" s="36">
        <v>100</v>
      </c>
      <c r="D291">
        <v>8.1461600037670084E-2</v>
      </c>
      <c r="F291">
        <v>26.479752319065781</v>
      </c>
    </row>
    <row r="292" spans="1:6" ht="16" x14ac:dyDescent="0.2">
      <c r="A292" t="s">
        <v>96</v>
      </c>
      <c r="B292" s="35">
        <v>3</v>
      </c>
      <c r="C292" s="36">
        <v>110</v>
      </c>
      <c r="D292">
        <v>0.11536469369496632</v>
      </c>
      <c r="F292">
        <v>30.684430475114194</v>
      </c>
    </row>
    <row r="293" spans="1:6" ht="16" x14ac:dyDescent="0.2">
      <c r="A293" t="s">
        <v>96</v>
      </c>
      <c r="B293" s="39">
        <v>3</v>
      </c>
      <c r="C293" s="40">
        <v>120</v>
      </c>
      <c r="D293">
        <v>0.14973866365305832</v>
      </c>
      <c r="E293">
        <v>34.889108631162593</v>
      </c>
      <c r="F293">
        <v>34.8891086311626</v>
      </c>
    </row>
    <row r="294" spans="1:6" ht="16" x14ac:dyDescent="0.2">
      <c r="A294" t="s">
        <v>96</v>
      </c>
      <c r="B294" s="35">
        <v>4</v>
      </c>
      <c r="C294" s="36">
        <v>0</v>
      </c>
      <c r="D294">
        <v>0.10783067288223383</v>
      </c>
      <c r="E294">
        <v>52.675283702971228</v>
      </c>
      <c r="F294">
        <v>52.675283702971228</v>
      </c>
    </row>
    <row r="295" spans="1:6" ht="16" x14ac:dyDescent="0.2">
      <c r="A295" t="s">
        <v>96</v>
      </c>
      <c r="B295" s="35">
        <v>4</v>
      </c>
      <c r="C295" s="36">
        <v>10</v>
      </c>
      <c r="D295">
        <v>0.11348118849178321</v>
      </c>
      <c r="F295">
        <v>54.973081571471177</v>
      </c>
    </row>
    <row r="296" spans="1:6" ht="16" x14ac:dyDescent="0.2">
      <c r="A296" t="s">
        <v>96</v>
      </c>
      <c r="B296" s="35">
        <v>4</v>
      </c>
      <c r="C296" s="36">
        <v>20</v>
      </c>
      <c r="D296">
        <v>0.11395206479257897</v>
      </c>
      <c r="F296">
        <v>57.270879439971125</v>
      </c>
    </row>
    <row r="297" spans="1:6" ht="16" x14ac:dyDescent="0.2">
      <c r="A297" t="s">
        <v>96</v>
      </c>
      <c r="B297" s="35">
        <v>4</v>
      </c>
      <c r="C297" s="36">
        <v>30</v>
      </c>
      <c r="D297">
        <v>0.10123840467109291</v>
      </c>
      <c r="E297">
        <v>59.568677308471074</v>
      </c>
      <c r="F297">
        <v>59.568677308471081</v>
      </c>
    </row>
    <row r="298" spans="1:6" ht="16" x14ac:dyDescent="0.2">
      <c r="A298" t="s">
        <v>96</v>
      </c>
      <c r="B298" s="35">
        <v>4</v>
      </c>
      <c r="C298" s="36">
        <v>40</v>
      </c>
      <c r="D298">
        <v>5.7917784997881042E-2</v>
      </c>
      <c r="F298">
        <v>44.875971182370378</v>
      </c>
    </row>
    <row r="299" spans="1:6" ht="16" x14ac:dyDescent="0.2">
      <c r="A299" t="s">
        <v>96</v>
      </c>
      <c r="B299" s="35">
        <v>4</v>
      </c>
      <c r="C299" s="36">
        <v>50</v>
      </c>
      <c r="D299">
        <v>4.0966238169232921E-2</v>
      </c>
      <c r="F299">
        <v>30.183265056269679</v>
      </c>
    </row>
    <row r="300" spans="1:6" ht="16" x14ac:dyDescent="0.2">
      <c r="A300" t="s">
        <v>96</v>
      </c>
      <c r="B300" s="35">
        <v>4</v>
      </c>
      <c r="C300" s="36">
        <v>60</v>
      </c>
      <c r="D300">
        <v>2.8723454348542628E-2</v>
      </c>
      <c r="E300">
        <v>15.490558930169039</v>
      </c>
      <c r="F300">
        <v>15.49055893016898</v>
      </c>
    </row>
    <row r="301" spans="1:6" ht="16" x14ac:dyDescent="0.2">
      <c r="A301" t="s">
        <v>96</v>
      </c>
      <c r="B301" s="35">
        <v>4</v>
      </c>
      <c r="C301" s="36">
        <v>70</v>
      </c>
      <c r="D301">
        <v>4.1437114470028708E-2</v>
      </c>
      <c r="F301">
        <v>28.79368554880628</v>
      </c>
    </row>
    <row r="302" spans="1:6" ht="16" x14ac:dyDescent="0.2">
      <c r="A302" t="s">
        <v>96</v>
      </c>
      <c r="B302" s="35">
        <v>4</v>
      </c>
      <c r="C302" s="36">
        <v>80</v>
      </c>
      <c r="D302">
        <v>7.9578094834486968E-2</v>
      </c>
      <c r="E302">
        <v>42.096812167443609</v>
      </c>
      <c r="F302">
        <v>42.096812167443581</v>
      </c>
    </row>
    <row r="303" spans="1:6" ht="16" x14ac:dyDescent="0.2">
      <c r="A303" t="s">
        <v>96</v>
      </c>
      <c r="B303" s="35">
        <v>4</v>
      </c>
      <c r="C303" s="36">
        <v>90</v>
      </c>
      <c r="D303">
        <v>7.6752837029712279E-2</v>
      </c>
      <c r="F303">
        <v>40.455219663794303</v>
      </c>
    </row>
    <row r="304" spans="1:6" ht="16" x14ac:dyDescent="0.2">
      <c r="A304" t="s">
        <v>96</v>
      </c>
      <c r="B304" s="35">
        <v>4</v>
      </c>
      <c r="C304" s="36">
        <v>100</v>
      </c>
      <c r="D304">
        <v>6.5922682111409336E-2</v>
      </c>
      <c r="F304">
        <v>38.813627160145018</v>
      </c>
    </row>
    <row r="305" spans="1:6" ht="16" x14ac:dyDescent="0.2">
      <c r="A305" t="s">
        <v>96</v>
      </c>
      <c r="B305" s="35">
        <v>4</v>
      </c>
      <c r="C305" s="36">
        <v>110</v>
      </c>
      <c r="D305">
        <v>9.5587889061543516E-2</v>
      </c>
      <c r="F305">
        <v>37.17203465649574</v>
      </c>
    </row>
    <row r="306" spans="1:6" ht="16" x14ac:dyDescent="0.2">
      <c r="A306" t="s">
        <v>96</v>
      </c>
      <c r="B306" s="35">
        <v>4</v>
      </c>
      <c r="C306" s="36">
        <v>120</v>
      </c>
      <c r="D306">
        <v>0.11301031219098742</v>
      </c>
      <c r="E306">
        <v>35.530442152846447</v>
      </c>
      <c r="F306">
        <v>35.530442152846462</v>
      </c>
    </row>
    <row r="307" spans="1:6" ht="16" x14ac:dyDescent="0.2">
      <c r="A307" t="s">
        <v>96</v>
      </c>
      <c r="B307" s="35">
        <v>4</v>
      </c>
      <c r="C307" s="36">
        <v>130</v>
      </c>
      <c r="D307">
        <v>0.20671469604934783</v>
      </c>
      <c r="F307">
        <v>31.556764138060942</v>
      </c>
    </row>
    <row r="308" spans="1:6" ht="16" x14ac:dyDescent="0.2">
      <c r="A308" t="s">
        <v>96</v>
      </c>
      <c r="B308" s="39">
        <v>4</v>
      </c>
      <c r="C308" s="40">
        <v>140</v>
      </c>
      <c r="D308">
        <v>0.21566134576446769</v>
      </c>
      <c r="E308">
        <v>27.583086123275415</v>
      </c>
      <c r="F308">
        <v>27.583086123275422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47A10-ECEF-0246-9876-F622C26B1163}">
  <dimension ref="A1:K82"/>
  <sheetViews>
    <sheetView topLeftCell="A50" workbookViewId="0">
      <selection activeCell="A58" sqref="A58:A82"/>
    </sheetView>
  </sheetViews>
  <sheetFormatPr baseColWidth="10" defaultRowHeight="15" x14ac:dyDescent="0.2"/>
  <cols>
    <col min="2" max="2" width="12.1640625" style="28" bestFit="1" customWidth="1"/>
    <col min="3" max="3" width="18.33203125" style="28" bestFit="1" customWidth="1"/>
    <col min="4" max="4" width="18.33203125" style="28" customWidth="1"/>
    <col min="5" max="5" width="7.33203125" style="28" customWidth="1"/>
    <col min="6" max="6" width="10.1640625" style="29" customWidth="1"/>
    <col min="7" max="7" width="7.83203125" style="28" customWidth="1"/>
    <col min="8" max="8" width="9.33203125" style="28" bestFit="1" customWidth="1"/>
  </cols>
  <sheetData>
    <row r="1" spans="1:10" ht="46" x14ac:dyDescent="0.2">
      <c r="A1" s="23" t="s">
        <v>92</v>
      </c>
      <c r="B1" s="23" t="s">
        <v>53</v>
      </c>
      <c r="C1" s="23" t="s">
        <v>54</v>
      </c>
      <c r="D1" s="23" t="s">
        <v>55</v>
      </c>
      <c r="E1" s="24" t="s">
        <v>56</v>
      </c>
      <c r="F1" s="25" t="s">
        <v>57</v>
      </c>
      <c r="G1" s="24" t="s">
        <v>58</v>
      </c>
      <c r="H1" s="24" t="s">
        <v>59</v>
      </c>
      <c r="I1" s="26" t="s">
        <v>60</v>
      </c>
      <c r="J1" s="26" t="s">
        <v>61</v>
      </c>
    </row>
    <row r="4" spans="1:10" x14ac:dyDescent="0.2">
      <c r="A4" t="s">
        <v>96</v>
      </c>
      <c r="B4" s="27">
        <v>2</v>
      </c>
      <c r="C4" s="27">
        <v>0</v>
      </c>
      <c r="D4" s="28">
        <v>16</v>
      </c>
      <c r="E4" s="28">
        <v>391</v>
      </c>
      <c r="F4" s="29">
        <v>55.48</v>
      </c>
      <c r="G4" s="28">
        <v>388</v>
      </c>
      <c r="H4" s="28">
        <v>136</v>
      </c>
      <c r="I4">
        <v>-0.40653784011415678</v>
      </c>
      <c r="J4">
        <v>0.9404514509980878</v>
      </c>
    </row>
    <row r="5" spans="1:10" x14ac:dyDescent="0.2">
      <c r="A5" t="s">
        <v>96</v>
      </c>
      <c r="B5" s="27">
        <v>2</v>
      </c>
      <c r="C5" s="27">
        <v>20</v>
      </c>
      <c r="D5" s="28">
        <v>17</v>
      </c>
      <c r="E5" s="28">
        <v>387</v>
      </c>
      <c r="F5" s="29">
        <v>54.54</v>
      </c>
      <c r="G5" s="28">
        <v>291</v>
      </c>
      <c r="H5" s="28">
        <v>150</v>
      </c>
      <c r="I5">
        <v>-0.48779325257257466</v>
      </c>
      <c r="J5">
        <v>0.95655904237007017</v>
      </c>
    </row>
    <row r="6" spans="1:10" x14ac:dyDescent="0.2">
      <c r="A6" t="s">
        <v>96</v>
      </c>
      <c r="B6" s="27">
        <v>2</v>
      </c>
      <c r="C6" s="27">
        <v>50</v>
      </c>
      <c r="D6" s="28">
        <v>14</v>
      </c>
      <c r="E6" s="28">
        <v>390</v>
      </c>
      <c r="F6" s="29">
        <v>50.37</v>
      </c>
      <c r="G6" s="28">
        <v>268</v>
      </c>
      <c r="H6" s="28">
        <v>138</v>
      </c>
      <c r="I6">
        <v>-0.49571628133617462</v>
      </c>
      <c r="J6">
        <v>0.94682953298901862</v>
      </c>
    </row>
    <row r="7" spans="1:10" x14ac:dyDescent="0.2">
      <c r="A7" t="s">
        <v>96</v>
      </c>
      <c r="B7" s="27">
        <v>2</v>
      </c>
      <c r="C7" s="27">
        <v>80</v>
      </c>
      <c r="D7" s="28">
        <v>12</v>
      </c>
      <c r="E7" s="28">
        <v>411</v>
      </c>
      <c r="F7" s="29">
        <v>22.72</v>
      </c>
      <c r="G7" s="28">
        <v>211</v>
      </c>
      <c r="H7" s="28">
        <v>135</v>
      </c>
      <c r="I7">
        <v>-0.38265751796930336</v>
      </c>
      <c r="J7">
        <v>0.93675907658761448</v>
      </c>
    </row>
    <row r="8" spans="1:10" x14ac:dyDescent="0.2">
      <c r="A8" t="s">
        <v>96</v>
      </c>
      <c r="B8" s="27">
        <v>3</v>
      </c>
      <c r="C8" s="27">
        <v>0</v>
      </c>
      <c r="D8" s="28">
        <v>8</v>
      </c>
      <c r="E8" s="28">
        <v>369</v>
      </c>
      <c r="F8" s="29">
        <v>50.36</v>
      </c>
      <c r="G8" s="28">
        <v>334</v>
      </c>
      <c r="H8" s="28">
        <v>168</v>
      </c>
      <c r="I8">
        <v>-0.22342225021208004</v>
      </c>
      <c r="J8">
        <v>0.88392155270515504</v>
      </c>
    </row>
    <row r="9" spans="1:10" x14ac:dyDescent="0.2">
      <c r="A9" t="s">
        <v>96</v>
      </c>
      <c r="B9" s="27">
        <v>3</v>
      </c>
      <c r="C9" s="27">
        <v>50</v>
      </c>
      <c r="D9" s="28">
        <v>11</v>
      </c>
      <c r="E9" s="28">
        <v>386</v>
      </c>
      <c r="F9" s="29">
        <v>52.9</v>
      </c>
      <c r="G9" s="28">
        <v>289</v>
      </c>
      <c r="H9" s="28">
        <v>144</v>
      </c>
      <c r="I9">
        <v>-0.36682270098969449</v>
      </c>
      <c r="J9">
        <v>0.92750697192117082</v>
      </c>
    </row>
    <row r="10" spans="1:10" x14ac:dyDescent="0.2">
      <c r="A10" t="s">
        <v>96</v>
      </c>
      <c r="B10" s="27">
        <v>3</v>
      </c>
      <c r="C10" s="27">
        <v>80</v>
      </c>
      <c r="D10" s="28">
        <v>5</v>
      </c>
      <c r="E10" s="28">
        <v>390</v>
      </c>
      <c r="F10" s="29">
        <v>52.57</v>
      </c>
      <c r="G10" s="28">
        <v>289</v>
      </c>
      <c r="H10" s="28">
        <v>119</v>
      </c>
      <c r="I10">
        <v>-0.51334150580500837</v>
      </c>
      <c r="J10">
        <v>0.93971749370924595</v>
      </c>
    </row>
    <row r="11" spans="1:10" x14ac:dyDescent="0.2">
      <c r="A11" t="s">
        <v>96</v>
      </c>
      <c r="B11" s="27">
        <v>3</v>
      </c>
      <c r="C11" s="27">
        <v>120</v>
      </c>
      <c r="D11" s="28">
        <v>10</v>
      </c>
      <c r="E11" s="28">
        <v>408</v>
      </c>
      <c r="F11" s="29">
        <v>23.3</v>
      </c>
      <c r="G11" s="28">
        <v>277</v>
      </c>
      <c r="H11" s="28">
        <v>111</v>
      </c>
      <c r="I11">
        <v>-0.46359989721964673</v>
      </c>
      <c r="J11">
        <v>0.94600915147300912</v>
      </c>
    </row>
    <row r="12" spans="1:10" x14ac:dyDescent="0.2">
      <c r="A12" t="s">
        <v>96</v>
      </c>
      <c r="B12" s="27">
        <v>4</v>
      </c>
      <c r="C12" s="27">
        <v>0</v>
      </c>
      <c r="D12" s="28">
        <v>1</v>
      </c>
      <c r="E12" s="28">
        <v>391</v>
      </c>
      <c r="F12" s="29">
        <v>48.85</v>
      </c>
      <c r="G12" s="28">
        <v>316</v>
      </c>
      <c r="H12" s="28">
        <v>181</v>
      </c>
      <c r="I12">
        <v>-0.32022382858539084</v>
      </c>
      <c r="J12">
        <v>0.90881776890748922</v>
      </c>
    </row>
    <row r="13" spans="1:10" x14ac:dyDescent="0.2">
      <c r="A13" t="s">
        <v>96</v>
      </c>
      <c r="B13" s="27">
        <v>4</v>
      </c>
      <c r="C13" s="27">
        <v>30</v>
      </c>
      <c r="D13" s="28">
        <v>41</v>
      </c>
      <c r="E13" s="28">
        <v>383</v>
      </c>
      <c r="F13" s="29">
        <v>58.84</v>
      </c>
      <c r="G13" s="28">
        <v>440</v>
      </c>
      <c r="H13" s="28">
        <v>116</v>
      </c>
      <c r="I13">
        <v>-0.39527838731826181</v>
      </c>
      <c r="J13">
        <v>0.94333567402145457</v>
      </c>
    </row>
    <row r="14" spans="1:10" x14ac:dyDescent="0.2">
      <c r="A14" t="s">
        <v>96</v>
      </c>
      <c r="B14" s="27">
        <v>4</v>
      </c>
      <c r="C14" s="27">
        <v>60</v>
      </c>
      <c r="D14" s="28">
        <v>4</v>
      </c>
      <c r="E14" s="28">
        <v>399</v>
      </c>
      <c r="F14" s="29">
        <v>53.93</v>
      </c>
      <c r="G14" s="28">
        <v>318</v>
      </c>
      <c r="H14" s="28">
        <v>133</v>
      </c>
      <c r="I14">
        <v>-0.41751118166042639</v>
      </c>
      <c r="J14">
        <v>0.93441169657689005</v>
      </c>
    </row>
    <row r="15" spans="1:10" x14ac:dyDescent="0.2">
      <c r="A15" t="s">
        <v>96</v>
      </c>
      <c r="B15" s="27">
        <v>4</v>
      </c>
      <c r="C15" s="27">
        <v>80</v>
      </c>
      <c r="D15" s="28">
        <v>2</v>
      </c>
      <c r="E15" s="28">
        <v>403</v>
      </c>
      <c r="F15" s="29">
        <v>52.9</v>
      </c>
      <c r="G15" s="28">
        <v>295</v>
      </c>
      <c r="H15" s="28">
        <v>128</v>
      </c>
      <c r="I15">
        <v>-0.42060894131920418</v>
      </c>
      <c r="J15">
        <v>0.94112952650516124</v>
      </c>
    </row>
    <row r="16" spans="1:10" x14ac:dyDescent="0.2">
      <c r="A16" t="s">
        <v>96</v>
      </c>
      <c r="B16" s="27">
        <v>4</v>
      </c>
      <c r="C16" s="27">
        <v>120</v>
      </c>
      <c r="D16" s="28">
        <v>3</v>
      </c>
      <c r="E16" s="28">
        <v>406</v>
      </c>
      <c r="F16" s="29">
        <v>31.44</v>
      </c>
      <c r="G16" s="28">
        <v>232</v>
      </c>
      <c r="H16" s="28">
        <v>117</v>
      </c>
      <c r="I16">
        <v>-0.45535799523472154</v>
      </c>
      <c r="J16">
        <v>0.94559763219878701</v>
      </c>
    </row>
    <row r="17" spans="1:11" x14ac:dyDescent="0.2">
      <c r="A17" t="s">
        <v>96</v>
      </c>
      <c r="B17" s="27">
        <v>4</v>
      </c>
      <c r="C17" s="27">
        <v>140</v>
      </c>
      <c r="D17" s="28">
        <v>6</v>
      </c>
      <c r="E17" s="28">
        <v>416</v>
      </c>
      <c r="F17" s="29">
        <v>12.79</v>
      </c>
      <c r="G17" s="28">
        <v>260</v>
      </c>
      <c r="H17" s="28">
        <v>114</v>
      </c>
      <c r="I17">
        <v>-0.32525557770347879</v>
      </c>
      <c r="J17">
        <v>0.94097633053533958</v>
      </c>
    </row>
    <row r="18" spans="1:11" x14ac:dyDescent="0.2">
      <c r="A18" t="s">
        <v>94</v>
      </c>
      <c r="B18" s="27">
        <v>5</v>
      </c>
      <c r="C18" s="27">
        <v>0</v>
      </c>
      <c r="D18" s="28">
        <v>74</v>
      </c>
      <c r="E18" s="28">
        <v>421</v>
      </c>
      <c r="F18" s="29">
        <v>18.239999999999998</v>
      </c>
      <c r="G18" s="28">
        <v>210</v>
      </c>
      <c r="H18" s="28">
        <v>189</v>
      </c>
      <c r="I18">
        <v>-0.55711208699786663</v>
      </c>
      <c r="J18">
        <v>0.95664412521496278</v>
      </c>
    </row>
    <row r="19" spans="1:11" x14ac:dyDescent="0.2">
      <c r="A19" t="s">
        <v>94</v>
      </c>
      <c r="B19" s="27">
        <v>5</v>
      </c>
      <c r="C19" s="27">
        <v>0</v>
      </c>
      <c r="D19" s="28">
        <v>77</v>
      </c>
      <c r="E19" s="28">
        <v>419</v>
      </c>
      <c r="F19" s="29">
        <v>17.71</v>
      </c>
      <c r="G19" s="28">
        <v>200</v>
      </c>
      <c r="H19" s="28">
        <v>189</v>
      </c>
      <c r="I19">
        <v>-0.5425571019455363</v>
      </c>
      <c r="J19">
        <v>0.95481546226864278</v>
      </c>
      <c r="K19" t="s">
        <v>62</v>
      </c>
    </row>
    <row r="20" spans="1:11" x14ac:dyDescent="0.2">
      <c r="A20" t="s">
        <v>94</v>
      </c>
      <c r="B20" s="27">
        <v>5</v>
      </c>
      <c r="C20" s="27">
        <v>30</v>
      </c>
      <c r="D20" s="28">
        <v>70</v>
      </c>
      <c r="E20" s="28">
        <v>373</v>
      </c>
      <c r="F20" s="29">
        <v>53.44</v>
      </c>
      <c r="G20" s="28">
        <v>352</v>
      </c>
      <c r="H20" s="28">
        <v>112</v>
      </c>
      <c r="I20">
        <v>-0.27369564619585918</v>
      </c>
      <c r="J20">
        <v>0.88465683753528568</v>
      </c>
    </row>
    <row r="21" spans="1:11" x14ac:dyDescent="0.2">
      <c r="A21" t="s">
        <v>94</v>
      </c>
      <c r="B21" s="27">
        <v>5</v>
      </c>
      <c r="C21" s="27">
        <v>50</v>
      </c>
      <c r="D21" s="28">
        <v>68</v>
      </c>
      <c r="E21" s="28">
        <v>375</v>
      </c>
      <c r="F21" s="29">
        <v>45.14</v>
      </c>
      <c r="G21" s="28">
        <v>327</v>
      </c>
      <c r="H21" s="28">
        <v>120</v>
      </c>
      <c r="I21">
        <v>-0.37203360764743482</v>
      </c>
      <c r="J21">
        <v>0.9095261356383787</v>
      </c>
    </row>
    <row r="22" spans="1:11" x14ac:dyDescent="0.2">
      <c r="A22" t="s">
        <v>94</v>
      </c>
      <c r="B22" s="27">
        <v>5</v>
      </c>
      <c r="C22" s="27">
        <v>90</v>
      </c>
      <c r="D22" s="28">
        <v>72</v>
      </c>
      <c r="E22" s="28">
        <v>377</v>
      </c>
      <c r="F22" s="29">
        <v>48.89</v>
      </c>
      <c r="G22" s="28">
        <v>281</v>
      </c>
      <c r="H22" s="28">
        <v>118</v>
      </c>
      <c r="I22">
        <v>-0.51916543714891128</v>
      </c>
      <c r="J22">
        <v>0.92854471579936326</v>
      </c>
    </row>
    <row r="23" spans="1:11" x14ac:dyDescent="0.2">
      <c r="A23" t="s">
        <v>94</v>
      </c>
      <c r="B23" s="27">
        <v>5</v>
      </c>
      <c r="C23" s="27">
        <v>160</v>
      </c>
      <c r="D23" s="28">
        <v>75</v>
      </c>
      <c r="E23" s="28">
        <v>339</v>
      </c>
      <c r="F23" s="29">
        <v>51.21</v>
      </c>
      <c r="G23" s="28">
        <v>319</v>
      </c>
      <c r="H23" s="28">
        <v>107</v>
      </c>
      <c r="I23">
        <v>-0.46430379543229677</v>
      </c>
      <c r="J23">
        <v>0.92415640079177319</v>
      </c>
    </row>
    <row r="24" spans="1:11" x14ac:dyDescent="0.2">
      <c r="A24" t="s">
        <v>94</v>
      </c>
      <c r="B24" s="27">
        <v>5</v>
      </c>
      <c r="C24" s="27">
        <v>160</v>
      </c>
      <c r="D24" s="28">
        <v>78</v>
      </c>
      <c r="E24" s="28">
        <v>337</v>
      </c>
      <c r="F24" s="29">
        <v>50.54</v>
      </c>
      <c r="G24" s="28">
        <v>304</v>
      </c>
      <c r="H24" s="28">
        <v>110</v>
      </c>
      <c r="I24">
        <v>-0.48318233621474999</v>
      </c>
      <c r="J24">
        <v>0.92689867752079735</v>
      </c>
      <c r="K24" t="s">
        <v>62</v>
      </c>
    </row>
    <row r="25" spans="1:11" x14ac:dyDescent="0.2">
      <c r="A25" t="s">
        <v>94</v>
      </c>
      <c r="B25" s="27">
        <v>5</v>
      </c>
      <c r="C25" s="27">
        <v>210</v>
      </c>
      <c r="D25" s="28">
        <v>71</v>
      </c>
      <c r="E25" s="28">
        <v>386</v>
      </c>
      <c r="F25" s="29">
        <v>53.39</v>
      </c>
      <c r="G25" s="28">
        <v>312</v>
      </c>
      <c r="H25" s="28">
        <v>108</v>
      </c>
      <c r="I25">
        <v>-0.43924724033363449</v>
      </c>
      <c r="J25">
        <v>0.9348175868630112</v>
      </c>
    </row>
    <row r="26" spans="1:11" x14ac:dyDescent="0.2">
      <c r="A26" t="s">
        <v>94</v>
      </c>
      <c r="B26" s="27">
        <v>5</v>
      </c>
      <c r="C26" s="27">
        <v>230</v>
      </c>
      <c r="D26" s="28">
        <v>67</v>
      </c>
      <c r="E26" s="28">
        <v>387</v>
      </c>
      <c r="F26" s="29">
        <v>52.25</v>
      </c>
      <c r="G26" s="28">
        <v>346</v>
      </c>
      <c r="H26" s="28">
        <v>106</v>
      </c>
      <c r="I26">
        <v>-0.46669833091550456</v>
      </c>
      <c r="J26">
        <v>0.93996976497278228</v>
      </c>
    </row>
    <row r="27" spans="1:11" x14ac:dyDescent="0.2">
      <c r="A27" t="s">
        <v>94</v>
      </c>
      <c r="B27" s="27">
        <v>5</v>
      </c>
      <c r="C27" s="27">
        <v>280</v>
      </c>
      <c r="D27" s="28">
        <v>76</v>
      </c>
      <c r="E27" s="28">
        <v>450</v>
      </c>
      <c r="F27" s="29">
        <v>44.6</v>
      </c>
      <c r="G27" s="28">
        <v>373</v>
      </c>
      <c r="H27" s="28">
        <v>103</v>
      </c>
      <c r="I27">
        <v>-0.4717839976604109</v>
      </c>
      <c r="J27">
        <v>0.95378135103944828</v>
      </c>
    </row>
    <row r="28" spans="1:11" x14ac:dyDescent="0.2">
      <c r="A28" t="s">
        <v>94</v>
      </c>
      <c r="B28" s="27">
        <v>5</v>
      </c>
      <c r="C28" s="27">
        <v>280</v>
      </c>
      <c r="D28" s="28">
        <v>79</v>
      </c>
      <c r="E28" s="28">
        <v>405</v>
      </c>
      <c r="F28" s="29">
        <v>42.55</v>
      </c>
      <c r="G28" s="28">
        <v>351</v>
      </c>
      <c r="H28" s="28">
        <v>108</v>
      </c>
      <c r="I28">
        <v>-0.43233257768361055</v>
      </c>
      <c r="J28">
        <v>0.94111485493786007</v>
      </c>
      <c r="K28" t="s">
        <v>62</v>
      </c>
    </row>
    <row r="29" spans="1:11" x14ac:dyDescent="0.2">
      <c r="A29" t="s">
        <v>97</v>
      </c>
      <c r="B29" s="27">
        <v>6</v>
      </c>
      <c r="C29" s="27">
        <v>0</v>
      </c>
      <c r="D29" s="28">
        <v>59</v>
      </c>
      <c r="E29" s="28">
        <v>394</v>
      </c>
      <c r="F29" s="29">
        <v>46.51</v>
      </c>
      <c r="G29" s="28">
        <v>394</v>
      </c>
      <c r="H29" s="28">
        <v>158</v>
      </c>
      <c r="I29">
        <v>-0.39005856999413108</v>
      </c>
      <c r="J29">
        <v>0.93225968730625453</v>
      </c>
    </row>
    <row r="30" spans="1:11" x14ac:dyDescent="0.2">
      <c r="A30" t="s">
        <v>97</v>
      </c>
      <c r="B30" s="27">
        <v>6</v>
      </c>
      <c r="C30" s="27">
        <v>20</v>
      </c>
      <c r="D30" s="28">
        <v>69</v>
      </c>
      <c r="E30" s="28">
        <v>386</v>
      </c>
      <c r="F30" s="29">
        <v>51.45</v>
      </c>
      <c r="G30" s="28">
        <v>231</v>
      </c>
      <c r="H30" s="28">
        <v>173</v>
      </c>
      <c r="I30">
        <v>-0.39913197577915244</v>
      </c>
      <c r="J30">
        <v>0.93457995298758834</v>
      </c>
    </row>
    <row r="31" spans="1:11" x14ac:dyDescent="0.2">
      <c r="A31" t="s">
        <v>97</v>
      </c>
      <c r="B31" s="27">
        <v>6</v>
      </c>
      <c r="C31" s="27">
        <v>40</v>
      </c>
      <c r="D31" s="28">
        <v>73</v>
      </c>
      <c r="E31" s="28">
        <v>418</v>
      </c>
      <c r="F31" s="29">
        <v>11.96</v>
      </c>
      <c r="G31" s="28">
        <v>215</v>
      </c>
      <c r="H31" s="28">
        <v>167</v>
      </c>
      <c r="I31">
        <v>-0.36637117413689441</v>
      </c>
      <c r="J31">
        <v>0.9401686550252778</v>
      </c>
    </row>
    <row r="32" spans="1:11" x14ac:dyDescent="0.2">
      <c r="A32" t="s">
        <v>97</v>
      </c>
      <c r="B32" s="27">
        <v>7</v>
      </c>
      <c r="C32" s="27">
        <v>10</v>
      </c>
      <c r="D32" s="28">
        <v>46</v>
      </c>
      <c r="E32" s="28">
        <v>380</v>
      </c>
      <c r="F32" s="29">
        <v>48.98</v>
      </c>
      <c r="G32" s="28">
        <v>499</v>
      </c>
      <c r="H32" s="28">
        <v>127</v>
      </c>
      <c r="I32">
        <v>-0.31313690233310293</v>
      </c>
      <c r="J32">
        <v>0.92247213893621605</v>
      </c>
    </row>
    <row r="33" spans="1:10" x14ac:dyDescent="0.2">
      <c r="A33" t="s">
        <v>97</v>
      </c>
      <c r="B33" s="27">
        <v>7</v>
      </c>
      <c r="C33" s="27">
        <v>40</v>
      </c>
      <c r="D33" s="28">
        <v>51</v>
      </c>
      <c r="E33" s="28">
        <v>388</v>
      </c>
      <c r="F33" s="29">
        <v>53.86</v>
      </c>
      <c r="G33" s="28">
        <v>289</v>
      </c>
      <c r="H33" s="28">
        <v>144</v>
      </c>
      <c r="I33">
        <v>-0.46948746463144164</v>
      </c>
      <c r="J33">
        <v>0.9432672730178111</v>
      </c>
    </row>
    <row r="34" spans="1:10" x14ac:dyDescent="0.2">
      <c r="A34" t="s">
        <v>97</v>
      </c>
      <c r="B34" s="27">
        <v>7</v>
      </c>
      <c r="C34" s="27">
        <v>90</v>
      </c>
      <c r="D34" s="28">
        <v>54</v>
      </c>
      <c r="E34" s="28">
        <v>381</v>
      </c>
      <c r="F34" s="29">
        <v>52.82</v>
      </c>
      <c r="G34" s="28">
        <v>239</v>
      </c>
      <c r="H34" s="28">
        <v>127</v>
      </c>
      <c r="I34">
        <v>-0.57648890443563428</v>
      </c>
      <c r="J34">
        <v>0.95241596122672856</v>
      </c>
    </row>
    <row r="35" spans="1:10" x14ac:dyDescent="0.2">
      <c r="A35" t="s">
        <v>97</v>
      </c>
      <c r="B35" s="27">
        <v>7</v>
      </c>
      <c r="C35" s="27">
        <v>160</v>
      </c>
      <c r="D35" s="28">
        <v>35</v>
      </c>
      <c r="E35" s="28">
        <v>405</v>
      </c>
      <c r="F35" s="29">
        <v>25.51</v>
      </c>
      <c r="G35" s="28">
        <v>168</v>
      </c>
      <c r="H35" s="28">
        <v>117</v>
      </c>
      <c r="I35">
        <v>-0.48024351644071983</v>
      </c>
      <c r="J35">
        <v>0.94190795981797792</v>
      </c>
    </row>
    <row r="36" spans="1:10" x14ac:dyDescent="0.2">
      <c r="A36" t="s">
        <v>97</v>
      </c>
      <c r="B36" s="27">
        <v>8</v>
      </c>
      <c r="C36" s="27">
        <v>0</v>
      </c>
      <c r="D36" s="28">
        <v>7</v>
      </c>
      <c r="E36" s="28">
        <v>390</v>
      </c>
      <c r="F36" s="29">
        <v>45.14</v>
      </c>
      <c r="G36" s="28">
        <v>331</v>
      </c>
      <c r="H36" s="28">
        <v>187</v>
      </c>
      <c r="I36">
        <v>-0.30594935910461984</v>
      </c>
      <c r="J36">
        <v>0.90198722731382019</v>
      </c>
    </row>
    <row r="37" spans="1:10" x14ac:dyDescent="0.2">
      <c r="A37" t="s">
        <v>97</v>
      </c>
      <c r="B37" s="27">
        <v>8</v>
      </c>
      <c r="C37" s="27">
        <v>10</v>
      </c>
      <c r="D37" s="28">
        <v>42</v>
      </c>
      <c r="E37" s="28">
        <v>403</v>
      </c>
      <c r="F37" s="29">
        <v>49.94</v>
      </c>
      <c r="G37" s="28">
        <v>418</v>
      </c>
      <c r="H37" s="28">
        <v>132</v>
      </c>
      <c r="I37">
        <v>-0.37262788638433447</v>
      </c>
      <c r="J37">
        <v>0.94160174404882602</v>
      </c>
    </row>
    <row r="38" spans="1:10" x14ac:dyDescent="0.2">
      <c r="A38" t="s">
        <v>97</v>
      </c>
      <c r="B38" s="27">
        <v>8</v>
      </c>
      <c r="C38" s="27">
        <v>50</v>
      </c>
      <c r="D38" s="28">
        <v>44</v>
      </c>
      <c r="E38" s="28">
        <v>388</v>
      </c>
      <c r="F38" s="29">
        <v>55.04</v>
      </c>
      <c r="G38" s="28">
        <v>238</v>
      </c>
      <c r="H38" s="28">
        <v>143</v>
      </c>
      <c r="I38">
        <v>-0.45118924558905638</v>
      </c>
      <c r="J38">
        <v>0.93584343657505376</v>
      </c>
    </row>
    <row r="39" spans="1:10" x14ac:dyDescent="0.2">
      <c r="A39" t="s">
        <v>97</v>
      </c>
      <c r="B39" s="27">
        <v>8</v>
      </c>
      <c r="C39" s="27">
        <v>130</v>
      </c>
      <c r="D39" s="28">
        <v>34</v>
      </c>
      <c r="E39" s="28">
        <v>384</v>
      </c>
      <c r="F39" s="29">
        <v>46.78</v>
      </c>
      <c r="G39" s="28">
        <v>213</v>
      </c>
      <c r="H39" s="28">
        <v>132</v>
      </c>
      <c r="I39">
        <v>-0.60437856160994519</v>
      </c>
      <c r="J39">
        <v>0.95451544375148667</v>
      </c>
    </row>
    <row r="40" spans="1:10" x14ac:dyDescent="0.2">
      <c r="A40" t="s">
        <v>94</v>
      </c>
      <c r="B40" s="27">
        <v>12</v>
      </c>
      <c r="C40" s="27">
        <v>0</v>
      </c>
      <c r="D40" s="28">
        <v>65</v>
      </c>
      <c r="E40" s="28">
        <v>406</v>
      </c>
      <c r="F40" s="29">
        <v>41.05</v>
      </c>
      <c r="G40" s="28">
        <v>430</v>
      </c>
      <c r="H40" s="28">
        <v>122</v>
      </c>
      <c r="I40">
        <v>-0.30569963511822934</v>
      </c>
      <c r="J40">
        <v>0.91657763552641225</v>
      </c>
    </row>
    <row r="41" spans="1:10" x14ac:dyDescent="0.2">
      <c r="A41" t="s">
        <v>94</v>
      </c>
      <c r="B41" s="27">
        <v>12</v>
      </c>
      <c r="C41" s="27">
        <v>20</v>
      </c>
      <c r="D41" s="28">
        <v>62</v>
      </c>
      <c r="E41" s="28">
        <v>383</v>
      </c>
      <c r="F41" s="29">
        <v>48.85</v>
      </c>
      <c r="G41" s="28">
        <v>408</v>
      </c>
      <c r="H41" s="28">
        <v>121</v>
      </c>
      <c r="I41">
        <v>-0.37477166903725395</v>
      </c>
      <c r="J41">
        <v>0.91972273905615343</v>
      </c>
    </row>
    <row r="42" spans="1:10" x14ac:dyDescent="0.2">
      <c r="A42" t="s">
        <v>94</v>
      </c>
      <c r="B42" s="27">
        <v>12</v>
      </c>
      <c r="C42" s="27">
        <v>50</v>
      </c>
      <c r="D42" s="28">
        <v>45</v>
      </c>
      <c r="E42" s="28">
        <v>384</v>
      </c>
      <c r="F42" s="29">
        <v>52.36</v>
      </c>
      <c r="G42" s="28">
        <v>334</v>
      </c>
      <c r="H42" s="28">
        <v>120</v>
      </c>
      <c r="I42">
        <v>-0.42023976363206589</v>
      </c>
      <c r="J42">
        <v>0.91300617044032872</v>
      </c>
    </row>
    <row r="43" spans="1:10" x14ac:dyDescent="0.2">
      <c r="A43" t="s">
        <v>94</v>
      </c>
      <c r="B43" s="27">
        <v>12</v>
      </c>
      <c r="C43" s="27">
        <v>70</v>
      </c>
      <c r="D43" s="28">
        <v>61</v>
      </c>
      <c r="E43" s="28">
        <v>332</v>
      </c>
      <c r="F43" s="29">
        <v>52.29</v>
      </c>
      <c r="G43" s="28">
        <v>316</v>
      </c>
      <c r="H43" s="28">
        <v>110</v>
      </c>
      <c r="I43">
        <v>-0.56761015747762178</v>
      </c>
      <c r="J43">
        <v>0.93387847508369926</v>
      </c>
    </row>
    <row r="44" spans="1:10" x14ac:dyDescent="0.2">
      <c r="A44" t="s">
        <v>94</v>
      </c>
      <c r="B44" s="27">
        <v>12</v>
      </c>
      <c r="C44" s="27">
        <v>100</v>
      </c>
      <c r="D44" s="28">
        <v>57</v>
      </c>
      <c r="E44" s="28">
        <v>382</v>
      </c>
      <c r="F44" s="29">
        <v>53</v>
      </c>
      <c r="G44" s="28">
        <v>293</v>
      </c>
      <c r="H44" s="28">
        <v>120</v>
      </c>
      <c r="I44">
        <v>-0.50422882392120538</v>
      </c>
      <c r="J44">
        <v>0.92478195006020103</v>
      </c>
    </row>
    <row r="45" spans="1:10" x14ac:dyDescent="0.2">
      <c r="A45" t="s">
        <v>94</v>
      </c>
      <c r="B45" s="27">
        <v>12</v>
      </c>
      <c r="C45" s="27">
        <v>130</v>
      </c>
      <c r="D45" s="28">
        <v>47</v>
      </c>
      <c r="E45" s="28">
        <v>401</v>
      </c>
      <c r="F45" s="29">
        <v>55.42</v>
      </c>
      <c r="G45" s="28">
        <v>365</v>
      </c>
      <c r="H45" s="28">
        <v>111</v>
      </c>
      <c r="I45">
        <v>-0.46830601054903093</v>
      </c>
      <c r="J45">
        <v>0.9373333084841271</v>
      </c>
    </row>
    <row r="46" spans="1:10" x14ac:dyDescent="0.2">
      <c r="A46" t="s">
        <v>94</v>
      </c>
      <c r="B46" s="27">
        <v>12</v>
      </c>
      <c r="C46" s="27">
        <v>140</v>
      </c>
      <c r="D46" s="28">
        <v>64</v>
      </c>
      <c r="E46" s="28">
        <v>387</v>
      </c>
      <c r="F46" s="29">
        <v>54.35</v>
      </c>
      <c r="G46" s="28">
        <v>335</v>
      </c>
      <c r="H46" s="28">
        <v>115</v>
      </c>
      <c r="I46">
        <v>-0.42943317962096644</v>
      </c>
      <c r="J46">
        <v>0.92098658622233254</v>
      </c>
    </row>
    <row r="47" spans="1:10" x14ac:dyDescent="0.2">
      <c r="A47" t="s">
        <v>94</v>
      </c>
      <c r="B47" s="27">
        <v>12</v>
      </c>
      <c r="C47" s="27">
        <v>180</v>
      </c>
      <c r="D47" s="28">
        <v>60</v>
      </c>
      <c r="E47" s="28">
        <v>330</v>
      </c>
      <c r="F47" s="29">
        <v>51.73</v>
      </c>
      <c r="G47" s="28">
        <v>301</v>
      </c>
      <c r="H47" s="28">
        <v>116</v>
      </c>
      <c r="I47">
        <v>-0.59940452583497805</v>
      </c>
      <c r="J47">
        <v>0.94235185101525365</v>
      </c>
    </row>
    <row r="48" spans="1:10" x14ac:dyDescent="0.2">
      <c r="A48" t="s">
        <v>94</v>
      </c>
      <c r="B48" s="27">
        <v>12</v>
      </c>
      <c r="C48" s="27">
        <v>240</v>
      </c>
      <c r="D48" s="28">
        <v>55</v>
      </c>
      <c r="E48" s="28">
        <v>386</v>
      </c>
      <c r="F48" s="29">
        <v>53.83</v>
      </c>
      <c r="G48" s="28">
        <v>303</v>
      </c>
      <c r="H48" s="28">
        <v>105</v>
      </c>
      <c r="I48">
        <v>-0.46021369427058156</v>
      </c>
      <c r="J48">
        <v>0.92763021773261767</v>
      </c>
    </row>
    <row r="49" spans="1:10" x14ac:dyDescent="0.2">
      <c r="A49" t="s">
        <v>94</v>
      </c>
      <c r="B49" s="27">
        <v>12</v>
      </c>
      <c r="C49" s="27">
        <v>260</v>
      </c>
      <c r="D49" s="28">
        <v>66</v>
      </c>
      <c r="E49" s="28">
        <v>392</v>
      </c>
      <c r="F49" s="29">
        <v>54.53</v>
      </c>
      <c r="G49" s="28">
        <v>361</v>
      </c>
      <c r="H49" s="28">
        <v>93</v>
      </c>
      <c r="I49">
        <v>-0.59104553104751612</v>
      </c>
      <c r="J49">
        <v>0.94949135995933265</v>
      </c>
    </row>
    <row r="50" spans="1:10" x14ac:dyDescent="0.2">
      <c r="A50" t="s">
        <v>94</v>
      </c>
      <c r="B50" s="27">
        <v>12</v>
      </c>
      <c r="C50" s="27">
        <v>290</v>
      </c>
      <c r="D50" s="28">
        <v>50</v>
      </c>
      <c r="E50" s="28">
        <v>396</v>
      </c>
      <c r="F50" s="29">
        <v>55.25</v>
      </c>
      <c r="G50" s="28">
        <v>394</v>
      </c>
      <c r="H50" s="28">
        <v>100</v>
      </c>
      <c r="I50">
        <v>-0.4209352330014613</v>
      </c>
      <c r="J50">
        <v>0.92927634426414274</v>
      </c>
    </row>
    <row r="51" spans="1:10" x14ac:dyDescent="0.2">
      <c r="A51" t="s">
        <v>94</v>
      </c>
      <c r="B51" s="27">
        <v>13</v>
      </c>
      <c r="C51" s="27">
        <v>0</v>
      </c>
      <c r="D51" s="28">
        <v>63</v>
      </c>
      <c r="E51" s="28">
        <v>390</v>
      </c>
      <c r="F51" s="29">
        <v>49.51</v>
      </c>
      <c r="G51" s="28">
        <v>437</v>
      </c>
      <c r="H51" s="28">
        <v>127</v>
      </c>
      <c r="I51">
        <v>-0.32161620449051376</v>
      </c>
      <c r="J51">
        <v>0.9171015947174872</v>
      </c>
    </row>
    <row r="52" spans="1:10" x14ac:dyDescent="0.2">
      <c r="A52" t="s">
        <v>94</v>
      </c>
      <c r="B52" s="27">
        <v>13</v>
      </c>
      <c r="C52" s="27">
        <v>40</v>
      </c>
      <c r="D52" s="28">
        <v>48</v>
      </c>
      <c r="E52" s="28">
        <v>384</v>
      </c>
      <c r="F52" s="29">
        <v>57.46</v>
      </c>
      <c r="G52" s="28">
        <v>387</v>
      </c>
      <c r="H52" s="28">
        <v>99</v>
      </c>
      <c r="I52">
        <v>-0.40310092132761566</v>
      </c>
      <c r="J52">
        <v>0.91903707778246613</v>
      </c>
    </row>
    <row r="53" spans="1:10" x14ac:dyDescent="0.2">
      <c r="A53" t="s">
        <v>94</v>
      </c>
      <c r="B53" s="27">
        <v>13</v>
      </c>
      <c r="C53" s="27">
        <v>70</v>
      </c>
      <c r="D53" s="28">
        <v>56</v>
      </c>
      <c r="E53" s="28">
        <v>383</v>
      </c>
      <c r="F53" s="29">
        <v>56.27</v>
      </c>
      <c r="G53" s="28">
        <v>365</v>
      </c>
      <c r="H53" s="28">
        <v>103</v>
      </c>
      <c r="I53">
        <v>-0.4204596420408665</v>
      </c>
      <c r="J53">
        <v>0.92595146823328189</v>
      </c>
    </row>
    <row r="54" spans="1:10" x14ac:dyDescent="0.2">
      <c r="A54" t="s">
        <v>94</v>
      </c>
      <c r="B54" s="27">
        <v>13</v>
      </c>
      <c r="C54" s="27">
        <v>140</v>
      </c>
      <c r="D54" s="28">
        <v>52</v>
      </c>
      <c r="E54" s="28">
        <v>379</v>
      </c>
      <c r="F54" s="29">
        <v>55.92</v>
      </c>
      <c r="G54" s="28">
        <v>349</v>
      </c>
      <c r="H54" s="28">
        <v>100</v>
      </c>
      <c r="I54">
        <v>-0.43570428935505223</v>
      </c>
      <c r="J54">
        <v>0.92234363365462368</v>
      </c>
    </row>
    <row r="55" spans="1:10" x14ac:dyDescent="0.2">
      <c r="A55" t="s">
        <v>94</v>
      </c>
      <c r="B55" s="27">
        <v>13</v>
      </c>
      <c r="C55" s="27">
        <v>170</v>
      </c>
      <c r="D55" s="28">
        <v>49</v>
      </c>
      <c r="E55" s="28">
        <v>388</v>
      </c>
      <c r="F55" s="29">
        <v>55.75</v>
      </c>
      <c r="G55" s="28">
        <v>328</v>
      </c>
      <c r="H55" s="28">
        <v>112</v>
      </c>
      <c r="I55">
        <v>-0.39046597694033641</v>
      </c>
      <c r="J55">
        <v>0.91542550613040907</v>
      </c>
    </row>
    <row r="56" spans="1:10" x14ac:dyDescent="0.2">
      <c r="A56" t="s">
        <v>94</v>
      </c>
      <c r="B56" s="27">
        <v>13</v>
      </c>
      <c r="C56" s="27">
        <v>240</v>
      </c>
      <c r="D56" s="28">
        <v>58</v>
      </c>
      <c r="E56" s="28">
        <v>326</v>
      </c>
      <c r="F56" s="29">
        <v>52.97</v>
      </c>
      <c r="G56" s="28">
        <v>340</v>
      </c>
      <c r="H56" s="28">
        <v>102</v>
      </c>
      <c r="I56">
        <v>-0.49753039153747514</v>
      </c>
      <c r="J56">
        <v>0.92213412354706714</v>
      </c>
    </row>
    <row r="57" spans="1:10" x14ac:dyDescent="0.2">
      <c r="A57" t="s">
        <v>94</v>
      </c>
      <c r="B57" s="27">
        <v>13</v>
      </c>
      <c r="C57" s="27">
        <v>280</v>
      </c>
      <c r="D57" s="28">
        <v>53</v>
      </c>
      <c r="E57" s="28">
        <v>390</v>
      </c>
      <c r="F57" s="29">
        <v>53.59</v>
      </c>
      <c r="G57" s="28">
        <v>350</v>
      </c>
      <c r="H57" s="28">
        <v>109</v>
      </c>
      <c r="I57">
        <v>-0.53112711744076524</v>
      </c>
      <c r="J57">
        <v>0.94677182252506287</v>
      </c>
    </row>
    <row r="58" spans="1:10" x14ac:dyDescent="0.2">
      <c r="A58" t="s">
        <v>95</v>
      </c>
      <c r="B58" s="27">
        <v>14</v>
      </c>
      <c r="C58" s="27">
        <v>10</v>
      </c>
      <c r="D58" s="28">
        <v>43</v>
      </c>
      <c r="E58" s="28">
        <v>387</v>
      </c>
      <c r="F58" s="29">
        <v>55.89</v>
      </c>
      <c r="G58" s="28">
        <v>255</v>
      </c>
      <c r="H58" s="28">
        <v>130</v>
      </c>
      <c r="I58">
        <v>-0.58689863607510051</v>
      </c>
      <c r="J58">
        <v>0.95645268533982541</v>
      </c>
    </row>
    <row r="59" spans="1:10" x14ac:dyDescent="0.2">
      <c r="A59" t="s">
        <v>95</v>
      </c>
      <c r="B59" s="27">
        <v>14</v>
      </c>
      <c r="C59" s="27">
        <v>60</v>
      </c>
      <c r="D59" s="28">
        <v>40</v>
      </c>
      <c r="E59" s="28">
        <v>326</v>
      </c>
      <c r="F59" s="29">
        <v>52.95</v>
      </c>
      <c r="G59" s="28">
        <v>230</v>
      </c>
      <c r="H59" s="28">
        <v>118</v>
      </c>
      <c r="I59">
        <v>-0.74244415908255723</v>
      </c>
      <c r="J59">
        <v>0.96208872166716963</v>
      </c>
    </row>
    <row r="60" spans="1:10" x14ac:dyDescent="0.2">
      <c r="A60" t="s">
        <v>95</v>
      </c>
      <c r="B60" s="27">
        <v>14</v>
      </c>
      <c r="C60" s="27">
        <v>180</v>
      </c>
      <c r="D60" s="28">
        <v>33</v>
      </c>
      <c r="E60" s="28">
        <v>333</v>
      </c>
      <c r="F60" s="29">
        <v>52.81</v>
      </c>
      <c r="G60" s="28">
        <v>265</v>
      </c>
      <c r="H60" s="28">
        <v>115</v>
      </c>
      <c r="I60">
        <v>-0.56884035372957376</v>
      </c>
      <c r="J60">
        <v>0.94010167198748429</v>
      </c>
    </row>
    <row r="61" spans="1:10" x14ac:dyDescent="0.2">
      <c r="A61" t="s">
        <v>95</v>
      </c>
      <c r="B61" s="27">
        <v>14</v>
      </c>
      <c r="C61" s="27">
        <v>210</v>
      </c>
      <c r="D61" s="28">
        <v>39</v>
      </c>
      <c r="E61" s="28">
        <v>333</v>
      </c>
      <c r="F61" s="29">
        <v>53.49</v>
      </c>
      <c r="G61" s="28">
        <v>300</v>
      </c>
      <c r="H61" s="28">
        <v>112</v>
      </c>
      <c r="I61">
        <v>-0.50556852647791239</v>
      </c>
      <c r="J61">
        <v>0.93334503313031913</v>
      </c>
    </row>
    <row r="62" spans="1:10" x14ac:dyDescent="0.2">
      <c r="A62" t="s">
        <v>95</v>
      </c>
      <c r="B62" s="27">
        <v>14</v>
      </c>
      <c r="C62" s="27">
        <v>250</v>
      </c>
      <c r="D62" s="28">
        <v>32</v>
      </c>
      <c r="E62" s="28">
        <v>331</v>
      </c>
      <c r="F62" s="29">
        <v>51.63</v>
      </c>
      <c r="G62" s="28">
        <v>208</v>
      </c>
      <c r="H62" s="28">
        <v>126</v>
      </c>
      <c r="I62">
        <v>-0.58420961233582891</v>
      </c>
      <c r="J62">
        <v>0.93780222604016272</v>
      </c>
    </row>
    <row r="63" spans="1:10" x14ac:dyDescent="0.2">
      <c r="A63" t="s">
        <v>95</v>
      </c>
      <c r="B63" s="27">
        <v>15</v>
      </c>
      <c r="C63" s="27">
        <v>0</v>
      </c>
      <c r="D63" s="28">
        <v>29</v>
      </c>
      <c r="E63" s="28">
        <v>398</v>
      </c>
      <c r="F63" s="29">
        <v>55.17</v>
      </c>
      <c r="G63" s="28">
        <v>306</v>
      </c>
      <c r="H63" s="28">
        <v>133</v>
      </c>
      <c r="I63">
        <v>-0.44407114981803392</v>
      </c>
      <c r="J63">
        <v>0.94303846926130253</v>
      </c>
    </row>
    <row r="64" spans="1:10" x14ac:dyDescent="0.2">
      <c r="A64" t="s">
        <v>95</v>
      </c>
      <c r="B64" s="27">
        <v>15</v>
      </c>
      <c r="C64" s="27">
        <v>60</v>
      </c>
      <c r="D64" s="28">
        <v>36</v>
      </c>
      <c r="E64" s="28">
        <v>391</v>
      </c>
      <c r="F64" s="29">
        <v>55.58</v>
      </c>
      <c r="G64" s="28">
        <v>260</v>
      </c>
      <c r="H64" s="28">
        <v>131</v>
      </c>
      <c r="I64">
        <v>-0.63051926825339033</v>
      </c>
      <c r="J64">
        <v>0.95283786747796961</v>
      </c>
    </row>
    <row r="65" spans="1:10" x14ac:dyDescent="0.2">
      <c r="A65" t="s">
        <v>95</v>
      </c>
      <c r="B65" s="27">
        <v>15</v>
      </c>
      <c r="C65" s="27">
        <v>170</v>
      </c>
      <c r="D65" s="28">
        <v>30</v>
      </c>
      <c r="E65" s="28">
        <v>328</v>
      </c>
      <c r="F65" s="29">
        <v>52.98</v>
      </c>
      <c r="G65" s="28">
        <v>231</v>
      </c>
      <c r="H65" s="28">
        <v>121</v>
      </c>
      <c r="I65">
        <v>-0.77655372210520079</v>
      </c>
      <c r="J65">
        <v>0.96666076036241799</v>
      </c>
    </row>
    <row r="66" spans="1:10" x14ac:dyDescent="0.2">
      <c r="A66" t="s">
        <v>95</v>
      </c>
      <c r="B66" s="27">
        <v>15</v>
      </c>
      <c r="C66" s="27">
        <v>230</v>
      </c>
      <c r="D66" s="28">
        <v>38</v>
      </c>
      <c r="E66" s="28">
        <v>332</v>
      </c>
      <c r="F66" s="29">
        <v>52.83</v>
      </c>
      <c r="G66" s="28">
        <v>250</v>
      </c>
      <c r="H66" s="28">
        <v>117</v>
      </c>
      <c r="I66">
        <v>-0.72723541764894328</v>
      </c>
      <c r="J66">
        <v>0.96081192311255481</v>
      </c>
    </row>
    <row r="67" spans="1:10" x14ac:dyDescent="0.2">
      <c r="A67" t="s">
        <v>95</v>
      </c>
      <c r="B67" s="27">
        <v>15</v>
      </c>
      <c r="C67" s="27">
        <v>270</v>
      </c>
      <c r="D67" s="28">
        <v>13</v>
      </c>
      <c r="E67" s="28">
        <v>325</v>
      </c>
      <c r="F67" s="29">
        <v>48.8</v>
      </c>
      <c r="G67" s="28">
        <v>150</v>
      </c>
      <c r="H67" s="28">
        <v>132</v>
      </c>
      <c r="I67">
        <v>-0.59758088513219976</v>
      </c>
      <c r="J67">
        <v>0.93467190318279481</v>
      </c>
    </row>
    <row r="68" spans="1:10" x14ac:dyDescent="0.2">
      <c r="A68" t="s">
        <v>95</v>
      </c>
      <c r="B68" s="27">
        <v>16</v>
      </c>
      <c r="C68" s="27">
        <v>10</v>
      </c>
      <c r="D68" s="28">
        <v>23</v>
      </c>
      <c r="E68" s="28">
        <v>389</v>
      </c>
      <c r="F68" s="29">
        <v>56.76</v>
      </c>
      <c r="G68" s="28">
        <v>245</v>
      </c>
      <c r="H68" s="28">
        <v>128</v>
      </c>
      <c r="I68">
        <v>-0.45225888297215866</v>
      </c>
      <c r="J68">
        <v>0.9337683295873781</v>
      </c>
    </row>
    <row r="69" spans="1:10" x14ac:dyDescent="0.2">
      <c r="A69" t="s">
        <v>95</v>
      </c>
      <c r="B69" s="27">
        <v>16</v>
      </c>
      <c r="C69" s="27">
        <v>90</v>
      </c>
      <c r="D69" s="28">
        <v>28</v>
      </c>
      <c r="E69" s="28">
        <v>388</v>
      </c>
      <c r="F69" s="29">
        <v>55.43</v>
      </c>
      <c r="G69" s="28">
        <v>254</v>
      </c>
      <c r="H69" s="28">
        <v>131</v>
      </c>
      <c r="I69">
        <v>-0.54183285857760977</v>
      </c>
      <c r="J69">
        <v>0.94384894380739837</v>
      </c>
    </row>
    <row r="70" spans="1:10" x14ac:dyDescent="0.2">
      <c r="A70" t="s">
        <v>95</v>
      </c>
      <c r="B70" s="27">
        <v>16</v>
      </c>
      <c r="C70" s="27">
        <v>210</v>
      </c>
      <c r="D70" s="28">
        <v>31</v>
      </c>
      <c r="E70" s="28">
        <v>385</v>
      </c>
      <c r="F70" s="29">
        <v>53.24</v>
      </c>
      <c r="G70" s="28">
        <v>220</v>
      </c>
      <c r="H70" s="28">
        <v>124</v>
      </c>
      <c r="I70">
        <v>-0.70906358058443542</v>
      </c>
      <c r="J70">
        <v>0.96281685289071195</v>
      </c>
    </row>
    <row r="71" spans="1:10" x14ac:dyDescent="0.2">
      <c r="A71" t="s">
        <v>95</v>
      </c>
      <c r="B71" s="27">
        <v>16</v>
      </c>
      <c r="C71" s="27">
        <v>260</v>
      </c>
      <c r="D71" s="28">
        <v>27</v>
      </c>
      <c r="E71" s="28">
        <v>330</v>
      </c>
      <c r="F71" s="29">
        <v>51.92</v>
      </c>
      <c r="G71" s="28">
        <v>250</v>
      </c>
      <c r="H71" s="28">
        <v>121</v>
      </c>
      <c r="I71">
        <v>-0.57258709342048153</v>
      </c>
      <c r="J71">
        <v>0.94452817414430934</v>
      </c>
    </row>
    <row r="72" spans="1:10" x14ac:dyDescent="0.2">
      <c r="A72" t="s">
        <v>95</v>
      </c>
      <c r="B72" s="27">
        <v>16</v>
      </c>
      <c r="C72" s="27">
        <v>290</v>
      </c>
      <c r="D72" s="28">
        <v>37</v>
      </c>
      <c r="E72" s="28">
        <v>324</v>
      </c>
      <c r="F72" s="29">
        <v>28.42</v>
      </c>
      <c r="G72" s="28">
        <v>224</v>
      </c>
      <c r="H72" s="28">
        <v>132</v>
      </c>
      <c r="I72">
        <v>-0.29283929878622744</v>
      </c>
      <c r="J72">
        <v>0.88570733558215109</v>
      </c>
    </row>
    <row r="73" spans="1:10" x14ac:dyDescent="0.2">
      <c r="A73" t="s">
        <v>95</v>
      </c>
      <c r="B73" s="27">
        <v>17</v>
      </c>
      <c r="C73" s="27">
        <v>0</v>
      </c>
      <c r="D73" s="28">
        <v>25</v>
      </c>
      <c r="E73" s="28">
        <v>395</v>
      </c>
      <c r="F73" s="29">
        <v>54.04</v>
      </c>
      <c r="G73" s="28">
        <v>254</v>
      </c>
      <c r="H73" s="28">
        <v>134</v>
      </c>
      <c r="I73">
        <v>-0.3725993692655673</v>
      </c>
      <c r="J73">
        <v>0.92894646237874956</v>
      </c>
    </row>
    <row r="74" spans="1:10" x14ac:dyDescent="0.2">
      <c r="A74" t="s">
        <v>95</v>
      </c>
      <c r="B74" s="27">
        <v>17</v>
      </c>
      <c r="C74" s="27">
        <v>50</v>
      </c>
      <c r="D74" s="28">
        <v>24</v>
      </c>
      <c r="E74" s="28">
        <v>386</v>
      </c>
      <c r="F74" s="29">
        <v>54.55</v>
      </c>
      <c r="G74" s="28">
        <v>215</v>
      </c>
      <c r="H74" s="28">
        <v>138</v>
      </c>
      <c r="I74">
        <v>-0.64010011965576386</v>
      </c>
      <c r="J74">
        <v>0.9534109453171431</v>
      </c>
    </row>
    <row r="75" spans="1:10" x14ac:dyDescent="0.2">
      <c r="A75" t="s">
        <v>95</v>
      </c>
      <c r="B75" s="27">
        <v>17</v>
      </c>
      <c r="C75" s="27">
        <v>130</v>
      </c>
      <c r="D75" s="28">
        <v>21</v>
      </c>
      <c r="E75" s="28">
        <v>386</v>
      </c>
      <c r="F75" s="29">
        <v>53.56</v>
      </c>
      <c r="G75" s="28">
        <v>226</v>
      </c>
      <c r="H75" s="28">
        <v>127</v>
      </c>
      <c r="I75">
        <v>-0.67599129518123979</v>
      </c>
      <c r="J75">
        <v>0.96145351259713041</v>
      </c>
    </row>
    <row r="76" spans="1:10" x14ac:dyDescent="0.2">
      <c r="A76" t="s">
        <v>95</v>
      </c>
      <c r="B76" s="27">
        <v>17</v>
      </c>
      <c r="C76" s="27">
        <v>220</v>
      </c>
      <c r="D76" s="28">
        <v>26</v>
      </c>
      <c r="E76" s="28">
        <v>338</v>
      </c>
      <c r="F76" s="29">
        <v>54.33</v>
      </c>
      <c r="G76" s="28">
        <v>246</v>
      </c>
      <c r="H76" s="28">
        <v>101</v>
      </c>
      <c r="I76">
        <v>-0.84520885394416734</v>
      </c>
      <c r="J76">
        <v>0.96668956474144574</v>
      </c>
    </row>
    <row r="77" spans="1:10" x14ac:dyDescent="0.2">
      <c r="A77" t="s">
        <v>95</v>
      </c>
      <c r="B77" s="27">
        <v>17</v>
      </c>
      <c r="C77" s="27">
        <v>290</v>
      </c>
      <c r="D77" s="28">
        <v>22</v>
      </c>
      <c r="E77" s="28">
        <v>323</v>
      </c>
      <c r="F77" s="29">
        <v>47.47</v>
      </c>
      <c r="G77" s="28">
        <v>236</v>
      </c>
      <c r="H77" s="28">
        <v>136</v>
      </c>
      <c r="I77">
        <v>-0.34008332833281768</v>
      </c>
      <c r="J77">
        <v>0.88856872893154604</v>
      </c>
    </row>
    <row r="78" spans="1:10" x14ac:dyDescent="0.2">
      <c r="A78" t="s">
        <v>95</v>
      </c>
      <c r="B78" s="27">
        <v>18</v>
      </c>
      <c r="C78" s="27">
        <v>0</v>
      </c>
      <c r="D78" s="28">
        <v>9</v>
      </c>
      <c r="E78" s="28">
        <v>395</v>
      </c>
      <c r="F78" s="29">
        <v>55.67</v>
      </c>
      <c r="G78" s="28">
        <v>263</v>
      </c>
      <c r="H78" s="28">
        <v>115</v>
      </c>
      <c r="I78">
        <v>-0.46512233278978915</v>
      </c>
      <c r="J78">
        <v>0.94589303414638859</v>
      </c>
    </row>
    <row r="79" spans="1:10" x14ac:dyDescent="0.2">
      <c r="A79" t="s">
        <v>95</v>
      </c>
      <c r="B79" s="27">
        <v>18</v>
      </c>
      <c r="C79" s="27">
        <v>60</v>
      </c>
      <c r="D79" s="28">
        <v>18</v>
      </c>
      <c r="E79" s="28">
        <v>390</v>
      </c>
      <c r="F79" s="29">
        <v>54.64</v>
      </c>
      <c r="G79" s="28">
        <v>221</v>
      </c>
      <c r="H79" s="28">
        <v>136</v>
      </c>
      <c r="I79">
        <v>-0.63097660001560751</v>
      </c>
      <c r="J79">
        <v>0.95606740472863594</v>
      </c>
    </row>
    <row r="80" spans="1:10" x14ac:dyDescent="0.2">
      <c r="A80" t="s">
        <v>95</v>
      </c>
      <c r="B80" s="27">
        <v>18</v>
      </c>
      <c r="C80" s="27">
        <v>160</v>
      </c>
      <c r="D80" s="28">
        <v>20</v>
      </c>
      <c r="E80" s="28">
        <v>376</v>
      </c>
      <c r="F80" s="29">
        <v>52.13</v>
      </c>
      <c r="G80" s="28">
        <v>213</v>
      </c>
      <c r="H80" s="28">
        <v>129</v>
      </c>
      <c r="I80">
        <v>-0.61743414742807412</v>
      </c>
      <c r="J80">
        <v>0.9539802928330855</v>
      </c>
    </row>
    <row r="81" spans="1:10" x14ac:dyDescent="0.2">
      <c r="A81" t="s">
        <v>95</v>
      </c>
      <c r="B81" s="27">
        <v>18</v>
      </c>
      <c r="C81" s="27">
        <v>250</v>
      </c>
      <c r="D81" s="28">
        <v>19</v>
      </c>
      <c r="E81" s="28">
        <v>333</v>
      </c>
      <c r="F81" s="29">
        <v>51.62</v>
      </c>
      <c r="G81" s="28">
        <v>246</v>
      </c>
      <c r="H81" s="28">
        <v>123</v>
      </c>
      <c r="I81">
        <v>-0.66055871263396715</v>
      </c>
      <c r="J81">
        <v>0.95279909586529954</v>
      </c>
    </row>
    <row r="82" spans="1:10" x14ac:dyDescent="0.2">
      <c r="A82" t="s">
        <v>95</v>
      </c>
      <c r="B82" s="27">
        <v>18</v>
      </c>
      <c r="C82" s="27">
        <v>280</v>
      </c>
      <c r="D82" s="30">
        <v>15</v>
      </c>
      <c r="E82" s="30">
        <v>324</v>
      </c>
      <c r="F82" s="31">
        <v>242.09</v>
      </c>
      <c r="G82" s="30">
        <v>44</v>
      </c>
      <c r="H82" s="30">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15139-00A8-1C49-A00C-5CFDF3A69A25}">
  <dimension ref="A1:X806"/>
  <sheetViews>
    <sheetView workbookViewId="0">
      <selection activeCell="X9" sqref="X9"/>
    </sheetView>
  </sheetViews>
  <sheetFormatPr baseColWidth="10" defaultRowHeight="16" x14ac:dyDescent="0.2"/>
  <cols>
    <col min="2" max="2" width="13.6640625" customWidth="1"/>
    <col min="3" max="3" width="8.83203125"/>
    <col min="4" max="4" width="13.6640625" customWidth="1"/>
    <col min="5" max="7" width="8.83203125"/>
    <col min="8" max="8" width="10.83203125" style="49"/>
    <col min="10" max="10" width="11.6640625" style="42" customWidth="1"/>
    <col min="11" max="11" width="11.5" customWidth="1"/>
    <col min="12" max="12" width="9" bestFit="1" customWidth="1"/>
    <col min="13" max="15" width="8.83203125"/>
    <col min="16" max="16" width="10.83203125" style="49"/>
    <col min="18" max="18" width="11.5" style="42" bestFit="1" customWidth="1"/>
    <col min="19" max="20" width="9.5" customWidth="1"/>
    <col min="21" max="21" width="9.1640625" style="42"/>
    <col min="22" max="23" width="10.83203125" style="42"/>
    <col min="24" max="24" width="10.83203125" style="49"/>
  </cols>
  <sheetData>
    <row r="1" spans="1:23" x14ac:dyDescent="0.2">
      <c r="A1" t="s">
        <v>88</v>
      </c>
      <c r="I1" t="s">
        <v>84</v>
      </c>
      <c r="Q1" t="s">
        <v>85</v>
      </c>
    </row>
    <row r="2" spans="1:23" x14ac:dyDescent="0.2">
      <c r="A2" t="s">
        <v>79</v>
      </c>
      <c r="B2" s="42" t="s">
        <v>75</v>
      </c>
      <c r="C2" t="s">
        <v>76</v>
      </c>
      <c r="D2" t="s">
        <v>86</v>
      </c>
      <c r="E2" s="42" t="s">
        <v>81</v>
      </c>
      <c r="F2" t="s">
        <v>87</v>
      </c>
      <c r="G2" s="42" t="s">
        <v>89</v>
      </c>
      <c r="I2" t="s">
        <v>79</v>
      </c>
      <c r="J2" s="42" t="s">
        <v>75</v>
      </c>
      <c r="K2" t="s">
        <v>76</v>
      </c>
      <c r="L2" t="s">
        <v>80</v>
      </c>
      <c r="M2" s="42" t="s">
        <v>81</v>
      </c>
      <c r="N2" t="s">
        <v>82</v>
      </c>
      <c r="O2" s="42" t="s">
        <v>83</v>
      </c>
      <c r="Q2" t="s">
        <v>74</v>
      </c>
      <c r="R2" s="42" t="s">
        <v>75</v>
      </c>
      <c r="S2" t="s">
        <v>76</v>
      </c>
      <c r="T2" t="s">
        <v>77</v>
      </c>
      <c r="U2" s="42" t="s">
        <v>81</v>
      </c>
      <c r="V2" t="s">
        <v>78</v>
      </c>
      <c r="W2" s="42" t="s">
        <v>83</v>
      </c>
    </row>
    <row r="3" spans="1:23" x14ac:dyDescent="0.2">
      <c r="B3" s="43">
        <v>43440</v>
      </c>
      <c r="E3" s="42">
        <v>0</v>
      </c>
      <c r="F3" s="42"/>
      <c r="G3" s="42">
        <f>E3/100</f>
        <v>0</v>
      </c>
      <c r="J3" s="43">
        <v>43428</v>
      </c>
      <c r="M3" s="42">
        <v>0</v>
      </c>
      <c r="N3" s="42"/>
      <c r="O3" s="42">
        <f>M3/100</f>
        <v>0</v>
      </c>
      <c r="R3" s="43">
        <v>43442</v>
      </c>
      <c r="U3" s="42">
        <v>0</v>
      </c>
      <c r="W3" s="42">
        <f>U3/100</f>
        <v>0</v>
      </c>
    </row>
    <row r="4" spans="1:23" x14ac:dyDescent="0.2">
      <c r="B4" s="43">
        <v>43441</v>
      </c>
      <c r="E4" s="42">
        <v>9.7232789999999996E-3</v>
      </c>
      <c r="F4" s="42"/>
      <c r="G4" s="42">
        <f t="shared" ref="G4:G18" si="0">E4/100</f>
        <v>9.7232789999999994E-5</v>
      </c>
      <c r="J4" s="43">
        <v>43429</v>
      </c>
      <c r="M4" s="42">
        <v>-4.7086649000000001E-2</v>
      </c>
      <c r="N4" s="42"/>
      <c r="O4" s="42">
        <f t="shared" ref="O4:O18" si="1">M4/100</f>
        <v>-4.7086649000000001E-4</v>
      </c>
      <c r="R4" s="43">
        <v>43443</v>
      </c>
      <c r="U4" s="42">
        <v>0.05</v>
      </c>
      <c r="W4" s="42">
        <f t="shared" ref="W4:W18" si="2">U4/100</f>
        <v>5.0000000000000001E-4</v>
      </c>
    </row>
    <row r="5" spans="1:23" x14ac:dyDescent="0.2">
      <c r="B5" s="43">
        <v>43442</v>
      </c>
      <c r="E5" s="42">
        <v>3.4296809999999997E-2</v>
      </c>
      <c r="F5" s="42"/>
      <c r="G5" s="42">
        <f t="shared" si="0"/>
        <v>3.4296809999999995E-4</v>
      </c>
      <c r="J5" s="43">
        <v>43430</v>
      </c>
      <c r="M5" s="42">
        <v>-0.110788423</v>
      </c>
      <c r="N5" s="42"/>
      <c r="O5" s="42">
        <f t="shared" si="1"/>
        <v>-1.1078842299999999E-3</v>
      </c>
      <c r="R5" s="43">
        <v>43444</v>
      </c>
      <c r="U5" s="42">
        <v>0.05</v>
      </c>
      <c r="W5" s="42">
        <f t="shared" si="2"/>
        <v>5.0000000000000001E-4</v>
      </c>
    </row>
    <row r="6" spans="1:23" x14ac:dyDescent="0.2">
      <c r="B6" s="43">
        <v>43443</v>
      </c>
      <c r="E6" s="42">
        <v>3.7126702999999997E-2</v>
      </c>
      <c r="F6" s="42"/>
      <c r="G6" s="42">
        <f t="shared" si="0"/>
        <v>3.7126702999999998E-4</v>
      </c>
      <c r="J6" s="43">
        <v>43431</v>
      </c>
      <c r="M6" s="42">
        <v>6.1097614000000001E-2</v>
      </c>
      <c r="N6" s="42"/>
      <c r="O6" s="42">
        <f t="shared" si="1"/>
        <v>6.1097614000000004E-4</v>
      </c>
      <c r="R6" s="43">
        <v>43445</v>
      </c>
      <c r="U6" s="42">
        <v>0.1</v>
      </c>
      <c r="W6" s="42">
        <f t="shared" si="2"/>
        <v>1E-3</v>
      </c>
    </row>
    <row r="7" spans="1:23" x14ac:dyDescent="0.2">
      <c r="B7" s="43">
        <v>43444</v>
      </c>
      <c r="E7" s="42">
        <v>3.1410399999999999E-3</v>
      </c>
      <c r="F7" s="42"/>
      <c r="G7" s="42">
        <f t="shared" si="0"/>
        <v>3.14104E-5</v>
      </c>
      <c r="J7" s="43">
        <v>43432</v>
      </c>
      <c r="M7" s="42">
        <v>4.9114985E-2</v>
      </c>
      <c r="N7" s="42"/>
      <c r="O7" s="42">
        <f t="shared" si="1"/>
        <v>4.9114985000000004E-4</v>
      </c>
      <c r="R7" s="43">
        <v>43446</v>
      </c>
      <c r="U7" s="42">
        <v>0.1</v>
      </c>
      <c r="W7" s="42">
        <f t="shared" si="2"/>
        <v>1E-3</v>
      </c>
    </row>
    <row r="8" spans="1:23" x14ac:dyDescent="0.2">
      <c r="B8" s="43">
        <v>43445</v>
      </c>
      <c r="E8" s="42">
        <v>3.4439669999999999E-2</v>
      </c>
      <c r="F8" s="42"/>
      <c r="G8" s="42">
        <f t="shared" si="0"/>
        <v>3.4439669999999998E-4</v>
      </c>
      <c r="J8" s="43">
        <v>43433</v>
      </c>
      <c r="M8" s="42">
        <v>4.8748209000000001E-2</v>
      </c>
      <c r="N8" s="42"/>
      <c r="O8" s="42">
        <f t="shared" si="1"/>
        <v>4.8748208999999999E-4</v>
      </c>
      <c r="R8" s="43">
        <v>43447</v>
      </c>
      <c r="U8" s="42">
        <v>0.45</v>
      </c>
      <c r="W8" s="42">
        <f t="shared" si="2"/>
        <v>4.5000000000000005E-3</v>
      </c>
    </row>
    <row r="9" spans="1:23" x14ac:dyDescent="0.2">
      <c r="B9" s="43">
        <v>43446</v>
      </c>
      <c r="E9" s="42">
        <v>3.6398960000000001E-2</v>
      </c>
      <c r="F9" s="42"/>
      <c r="G9" s="42">
        <f t="shared" si="0"/>
        <v>3.6398959999999999E-4</v>
      </c>
      <c r="J9" s="43">
        <v>43434</v>
      </c>
      <c r="M9" s="42">
        <v>4.8566144999999998E-2</v>
      </c>
      <c r="N9" s="42"/>
      <c r="O9" s="42">
        <f t="shared" si="1"/>
        <v>4.8566144999999996E-4</v>
      </c>
      <c r="R9" s="43">
        <v>43448</v>
      </c>
      <c r="U9" s="42">
        <v>0.45</v>
      </c>
      <c r="W9" s="42">
        <f t="shared" si="2"/>
        <v>4.5000000000000005E-3</v>
      </c>
    </row>
    <row r="10" spans="1:23" x14ac:dyDescent="0.2">
      <c r="B10" s="43">
        <v>43447</v>
      </c>
      <c r="E10" s="42">
        <v>3.336455E-2</v>
      </c>
      <c r="F10" s="42"/>
      <c r="G10" s="42">
        <f t="shared" si="0"/>
        <v>3.3364549999999999E-4</v>
      </c>
      <c r="J10" s="43">
        <v>43435</v>
      </c>
      <c r="M10" s="42">
        <v>4.8622603E-2</v>
      </c>
      <c r="N10" s="42"/>
      <c r="O10" s="42">
        <f t="shared" si="1"/>
        <v>4.8622603000000002E-4</v>
      </c>
      <c r="R10" s="43">
        <v>43449</v>
      </c>
      <c r="U10" s="42">
        <v>0.85</v>
      </c>
      <c r="W10" s="42">
        <f t="shared" si="2"/>
        <v>8.5000000000000006E-3</v>
      </c>
    </row>
    <row r="11" spans="1:23" x14ac:dyDescent="0.2">
      <c r="B11" s="43">
        <v>43448</v>
      </c>
      <c r="E11" s="42">
        <v>3.4193229999999998E-2</v>
      </c>
      <c r="F11" s="42"/>
      <c r="G11" s="42">
        <f t="shared" si="0"/>
        <v>3.4193229999999997E-4</v>
      </c>
      <c r="J11" s="43">
        <v>43436</v>
      </c>
      <c r="M11" s="42">
        <v>4.8672301000000001E-2</v>
      </c>
      <c r="N11" s="42"/>
      <c r="O11" s="42">
        <f t="shared" si="1"/>
        <v>4.8672301000000001E-4</v>
      </c>
      <c r="R11" s="43">
        <v>43450</v>
      </c>
      <c r="U11" s="42">
        <v>0.95</v>
      </c>
      <c r="W11" s="42">
        <f t="shared" si="2"/>
        <v>9.4999999999999998E-3</v>
      </c>
    </row>
    <row r="12" spans="1:23" x14ac:dyDescent="0.2">
      <c r="B12" s="43">
        <v>43449</v>
      </c>
      <c r="E12" s="42">
        <v>6.8168779999999998E-2</v>
      </c>
      <c r="F12" s="42"/>
      <c r="G12" s="42">
        <f t="shared" si="0"/>
        <v>6.816878E-4</v>
      </c>
      <c r="J12" s="43">
        <v>43437</v>
      </c>
      <c r="M12" s="42">
        <v>6.4032268000000003E-2</v>
      </c>
      <c r="N12" s="42"/>
      <c r="O12" s="42">
        <f t="shared" si="1"/>
        <v>6.4032268000000002E-4</v>
      </c>
      <c r="R12" s="43">
        <v>43451</v>
      </c>
      <c r="U12" s="42">
        <v>0.95</v>
      </c>
      <c r="W12" s="42">
        <f t="shared" si="2"/>
        <v>9.4999999999999998E-3</v>
      </c>
    </row>
    <row r="13" spans="1:23" x14ac:dyDescent="0.2">
      <c r="B13" s="43">
        <v>43450</v>
      </c>
      <c r="E13" s="42">
        <v>8.2350370000000006E-2</v>
      </c>
      <c r="F13" s="42"/>
      <c r="G13" s="42">
        <f t="shared" si="0"/>
        <v>8.2350370000000008E-4</v>
      </c>
      <c r="J13" s="43">
        <v>43438</v>
      </c>
      <c r="M13" s="42">
        <v>-0.111143704</v>
      </c>
      <c r="N13" s="42"/>
      <c r="O13" s="42">
        <f t="shared" si="1"/>
        <v>-1.1114370399999999E-3</v>
      </c>
      <c r="R13" s="43">
        <v>43452</v>
      </c>
      <c r="U13" s="42">
        <v>0.95</v>
      </c>
      <c r="W13" s="42">
        <f t="shared" si="2"/>
        <v>9.4999999999999998E-3</v>
      </c>
    </row>
    <row r="14" spans="1:23" x14ac:dyDescent="0.2">
      <c r="B14" s="43">
        <v>43451</v>
      </c>
      <c r="E14" s="42">
        <v>8.429681E-2</v>
      </c>
      <c r="F14" s="42"/>
      <c r="G14" s="42">
        <f t="shared" si="0"/>
        <v>8.4296809999999996E-4</v>
      </c>
      <c r="J14" s="43">
        <v>43439</v>
      </c>
      <c r="M14" s="42">
        <v>-7.9897921999999996E-2</v>
      </c>
      <c r="N14" s="42"/>
      <c r="O14" s="42">
        <f t="shared" si="1"/>
        <v>-7.9897922E-4</v>
      </c>
      <c r="R14" s="43">
        <v>43453</v>
      </c>
      <c r="U14" s="42">
        <v>0.9</v>
      </c>
      <c r="W14" s="42">
        <f t="shared" si="2"/>
        <v>9.0000000000000011E-3</v>
      </c>
    </row>
    <row r="15" spans="1:23" x14ac:dyDescent="0.2">
      <c r="B15" s="43">
        <v>43452</v>
      </c>
      <c r="E15" s="42">
        <v>6.7132940000000002E-2</v>
      </c>
      <c r="F15" s="42"/>
      <c r="G15" s="42">
        <f t="shared" si="0"/>
        <v>6.7132940000000005E-4</v>
      </c>
      <c r="J15" s="43">
        <v>43440</v>
      </c>
      <c r="M15" s="42">
        <v>-0.111723763</v>
      </c>
      <c r="N15" s="42"/>
      <c r="O15" s="42">
        <f t="shared" si="1"/>
        <v>-1.11723763E-3</v>
      </c>
      <c r="R15" s="43">
        <v>43454</v>
      </c>
      <c r="U15" s="42">
        <v>0.9</v>
      </c>
      <c r="W15" s="42">
        <f t="shared" si="2"/>
        <v>9.0000000000000011E-3</v>
      </c>
    </row>
    <row r="16" spans="1:23" x14ac:dyDescent="0.2">
      <c r="B16" s="43">
        <v>43453</v>
      </c>
      <c r="E16" s="42">
        <v>6.7365999999999995E-2</v>
      </c>
      <c r="F16" s="42"/>
      <c r="G16" s="42">
        <f t="shared" si="0"/>
        <v>6.7365999999999997E-4</v>
      </c>
      <c r="J16" s="43">
        <v>43441</v>
      </c>
      <c r="M16" s="42">
        <v>-0.14533607600000001</v>
      </c>
      <c r="N16" s="42"/>
      <c r="O16" s="42">
        <f t="shared" si="1"/>
        <v>-1.4533607600000001E-3</v>
      </c>
      <c r="R16" s="43">
        <v>43455</v>
      </c>
      <c r="U16" s="42">
        <v>0.9</v>
      </c>
      <c r="W16" s="42">
        <f t="shared" si="2"/>
        <v>9.0000000000000011E-3</v>
      </c>
    </row>
    <row r="17" spans="2:23" x14ac:dyDescent="0.2">
      <c r="B17" s="43">
        <v>43454</v>
      </c>
      <c r="E17" s="42">
        <v>0.10001346</v>
      </c>
      <c r="F17" s="42"/>
      <c r="G17" s="42">
        <f t="shared" si="0"/>
        <v>1.0001346E-3</v>
      </c>
      <c r="J17" s="43">
        <v>43442</v>
      </c>
      <c r="M17" s="42">
        <v>-0.113411391</v>
      </c>
      <c r="N17" s="42"/>
      <c r="O17" s="42">
        <f t="shared" si="1"/>
        <v>-1.13411391E-3</v>
      </c>
      <c r="R17" s="43">
        <v>43456</v>
      </c>
      <c r="U17" s="42">
        <v>0.9</v>
      </c>
      <c r="W17" s="42">
        <f t="shared" si="2"/>
        <v>9.0000000000000011E-3</v>
      </c>
    </row>
    <row r="18" spans="2:23" x14ac:dyDescent="0.2">
      <c r="B18" s="43">
        <v>43455</v>
      </c>
      <c r="E18" s="42">
        <v>0.16636641999999999</v>
      </c>
      <c r="F18" s="42"/>
      <c r="G18" s="42">
        <f t="shared" si="0"/>
        <v>1.6636641999999999E-3</v>
      </c>
      <c r="J18" s="43">
        <v>43443</v>
      </c>
      <c r="M18" s="42">
        <v>-8.0190633999999997E-2</v>
      </c>
      <c r="N18" s="42"/>
      <c r="O18" s="42">
        <f t="shared" si="1"/>
        <v>-8.0190633999999996E-4</v>
      </c>
      <c r="R18" s="43">
        <v>43457</v>
      </c>
      <c r="U18" s="42">
        <v>0.85</v>
      </c>
      <c r="W18" s="42">
        <f t="shared" si="2"/>
        <v>8.5000000000000006E-3</v>
      </c>
    </row>
    <row r="19" spans="2:23" x14ac:dyDescent="0.2">
      <c r="B19" s="43">
        <v>43456</v>
      </c>
      <c r="E19" s="42">
        <v>0.13289398999999999</v>
      </c>
      <c r="F19" s="42"/>
      <c r="G19" s="42">
        <f>E19/100</f>
        <v>1.3289399E-3</v>
      </c>
      <c r="J19" s="43">
        <v>43444</v>
      </c>
      <c r="M19" s="42"/>
      <c r="N19" s="42"/>
      <c r="O19" s="42"/>
      <c r="R19" s="43">
        <v>43458</v>
      </c>
    </row>
    <row r="20" spans="2:23" x14ac:dyDescent="0.2">
      <c r="B20" s="43">
        <v>43457</v>
      </c>
      <c r="E20" s="42"/>
      <c r="F20" s="42"/>
      <c r="G20" s="42"/>
      <c r="J20" s="43">
        <v>43445</v>
      </c>
      <c r="M20" s="42"/>
      <c r="N20" s="42"/>
      <c r="O20" s="42"/>
      <c r="R20" s="43">
        <v>43459</v>
      </c>
    </row>
    <row r="21" spans="2:23" x14ac:dyDescent="0.2">
      <c r="B21" s="43">
        <v>43458</v>
      </c>
      <c r="E21" s="42"/>
      <c r="F21" s="42"/>
      <c r="G21" s="42"/>
      <c r="J21" s="43">
        <v>43446</v>
      </c>
      <c r="M21" s="42"/>
      <c r="N21" s="42"/>
      <c r="O21" s="42"/>
      <c r="R21" s="43">
        <v>43460</v>
      </c>
    </row>
    <row r="22" spans="2:23" x14ac:dyDescent="0.2">
      <c r="B22" s="43">
        <v>43459</v>
      </c>
      <c r="E22" s="42"/>
      <c r="F22" s="42"/>
      <c r="G22" s="42"/>
      <c r="J22" s="43">
        <v>43447</v>
      </c>
      <c r="M22" s="42"/>
      <c r="N22" s="42"/>
      <c r="O22" s="42"/>
      <c r="R22" s="43">
        <v>43461</v>
      </c>
    </row>
    <row r="23" spans="2:23" x14ac:dyDescent="0.2">
      <c r="B23" s="43">
        <v>43460</v>
      </c>
      <c r="E23" s="42"/>
      <c r="F23" s="42"/>
      <c r="G23" s="42"/>
      <c r="J23" s="43">
        <v>43448</v>
      </c>
      <c r="M23" s="42"/>
      <c r="N23" s="42"/>
      <c r="O23" s="42"/>
      <c r="R23" s="43">
        <v>43462</v>
      </c>
    </row>
    <row r="24" spans="2:23" x14ac:dyDescent="0.2">
      <c r="B24" s="43">
        <v>43461</v>
      </c>
      <c r="E24" s="42"/>
      <c r="F24" s="42"/>
      <c r="G24" s="42"/>
      <c r="J24" s="43">
        <v>43449</v>
      </c>
      <c r="M24" s="42"/>
      <c r="N24" s="42"/>
      <c r="O24" s="42"/>
      <c r="R24" s="43">
        <v>43463</v>
      </c>
    </row>
    <row r="25" spans="2:23" x14ac:dyDescent="0.2">
      <c r="B25" s="43">
        <v>43462</v>
      </c>
      <c r="E25" s="42"/>
      <c r="F25" s="42"/>
      <c r="G25" s="42"/>
      <c r="J25" s="43">
        <v>43450</v>
      </c>
      <c r="M25" s="42"/>
      <c r="N25" s="42"/>
      <c r="O25" s="42"/>
      <c r="R25" s="43">
        <v>43464</v>
      </c>
    </row>
    <row r="26" spans="2:23" x14ac:dyDescent="0.2">
      <c r="B26" s="43">
        <v>43463</v>
      </c>
      <c r="E26" s="42"/>
      <c r="F26" s="42"/>
      <c r="G26" s="42"/>
      <c r="J26" s="43">
        <v>43451</v>
      </c>
      <c r="M26" s="42"/>
      <c r="N26" s="42"/>
      <c r="O26" s="42"/>
      <c r="R26" s="43">
        <v>43465</v>
      </c>
    </row>
    <row r="27" spans="2:23" x14ac:dyDescent="0.2">
      <c r="B27" s="43">
        <v>43464</v>
      </c>
      <c r="E27" s="42"/>
      <c r="F27" s="42"/>
      <c r="G27" s="42"/>
      <c r="J27" s="43">
        <v>43452</v>
      </c>
      <c r="M27" s="42"/>
      <c r="N27" s="42"/>
      <c r="O27" s="42"/>
      <c r="R27" s="43">
        <v>43466</v>
      </c>
    </row>
    <row r="28" spans="2:23" x14ac:dyDescent="0.2">
      <c r="B28" s="43">
        <v>43465</v>
      </c>
      <c r="E28" s="42"/>
      <c r="F28" s="42"/>
      <c r="G28" s="42"/>
      <c r="J28" s="43">
        <v>43453</v>
      </c>
      <c r="M28" s="42"/>
      <c r="N28" s="42"/>
      <c r="O28" s="42"/>
      <c r="R28" s="43">
        <v>43467</v>
      </c>
    </row>
    <row r="29" spans="2:23" x14ac:dyDescent="0.2">
      <c r="B29" s="43">
        <v>43466</v>
      </c>
      <c r="E29" s="42"/>
      <c r="F29" s="42"/>
      <c r="G29" s="42"/>
      <c r="J29" s="43">
        <v>43454</v>
      </c>
      <c r="M29" s="42"/>
      <c r="N29" s="42"/>
      <c r="O29" s="42"/>
      <c r="R29" s="43">
        <v>43468</v>
      </c>
    </row>
    <row r="30" spans="2:23" x14ac:dyDescent="0.2">
      <c r="B30" s="43">
        <v>43467</v>
      </c>
      <c r="E30" s="42"/>
      <c r="F30" s="42"/>
      <c r="G30" s="42"/>
      <c r="J30" s="43">
        <v>43455</v>
      </c>
      <c r="M30" s="42"/>
      <c r="N30" s="42"/>
      <c r="O30" s="42"/>
      <c r="R30" s="43">
        <v>43469</v>
      </c>
    </row>
    <row r="31" spans="2:23" x14ac:dyDescent="0.2">
      <c r="B31" s="43">
        <v>43468</v>
      </c>
      <c r="E31" s="42"/>
      <c r="F31" s="42"/>
      <c r="G31" s="42"/>
      <c r="J31" s="43">
        <v>43456</v>
      </c>
      <c r="M31" s="42"/>
      <c r="N31" s="42"/>
      <c r="O31" s="42"/>
      <c r="R31" s="43">
        <v>43470</v>
      </c>
    </row>
    <row r="32" spans="2:23" x14ac:dyDescent="0.2">
      <c r="B32" s="43">
        <v>43469</v>
      </c>
      <c r="E32" s="42"/>
      <c r="F32" s="42"/>
      <c r="G32" s="42"/>
      <c r="J32" s="43">
        <v>43457</v>
      </c>
      <c r="M32" s="42"/>
      <c r="N32" s="42"/>
      <c r="O32" s="42"/>
      <c r="R32" s="43">
        <v>43471</v>
      </c>
    </row>
    <row r="33" spans="2:18" x14ac:dyDescent="0.2">
      <c r="B33" s="43">
        <v>43470</v>
      </c>
      <c r="E33" s="42"/>
      <c r="F33" s="42"/>
      <c r="G33" s="42"/>
      <c r="J33" s="43">
        <v>43458</v>
      </c>
      <c r="M33" s="42"/>
      <c r="N33" s="42"/>
      <c r="O33" s="42"/>
      <c r="R33" s="43">
        <v>43472</v>
      </c>
    </row>
    <row r="34" spans="2:18" x14ac:dyDescent="0.2">
      <c r="B34" s="43">
        <v>43471</v>
      </c>
      <c r="E34" s="42"/>
      <c r="F34" s="42"/>
      <c r="G34" s="42"/>
      <c r="J34" s="43">
        <v>43459</v>
      </c>
      <c r="M34" s="42"/>
      <c r="N34" s="42"/>
      <c r="O34" s="42"/>
      <c r="R34" s="43">
        <v>43473</v>
      </c>
    </row>
    <row r="35" spans="2:18" x14ac:dyDescent="0.2">
      <c r="B35" s="43">
        <v>43472</v>
      </c>
      <c r="E35" s="42"/>
      <c r="F35" s="42"/>
      <c r="G35" s="42"/>
      <c r="J35" s="43">
        <v>43460</v>
      </c>
      <c r="M35" s="42"/>
      <c r="N35" s="42"/>
      <c r="O35" s="42"/>
      <c r="R35" s="43">
        <v>43474</v>
      </c>
    </row>
    <row r="36" spans="2:18" x14ac:dyDescent="0.2">
      <c r="B36" s="43">
        <v>43473</v>
      </c>
      <c r="E36" s="42"/>
      <c r="F36" s="42"/>
      <c r="G36" s="42"/>
      <c r="J36" s="43">
        <v>43461</v>
      </c>
      <c r="M36" s="42"/>
      <c r="N36" s="42"/>
      <c r="O36" s="42"/>
      <c r="R36" s="43">
        <v>43475</v>
      </c>
    </row>
    <row r="37" spans="2:18" x14ac:dyDescent="0.2">
      <c r="B37" s="43">
        <v>43474</v>
      </c>
      <c r="E37" s="42"/>
      <c r="F37" s="42"/>
      <c r="G37" s="42"/>
      <c r="J37" s="43">
        <v>43462</v>
      </c>
      <c r="M37" s="42"/>
      <c r="N37" s="42"/>
      <c r="O37" s="42"/>
      <c r="R37" s="43">
        <v>43476</v>
      </c>
    </row>
    <row r="38" spans="2:18" x14ac:dyDescent="0.2">
      <c r="B38" s="43">
        <v>43475</v>
      </c>
      <c r="E38" s="42"/>
      <c r="F38" s="42"/>
      <c r="G38" s="42"/>
      <c r="J38" s="43">
        <v>43463</v>
      </c>
      <c r="M38" s="42"/>
      <c r="N38" s="42"/>
      <c r="O38" s="42"/>
      <c r="R38" s="43">
        <v>43477</v>
      </c>
    </row>
    <row r="39" spans="2:18" x14ac:dyDescent="0.2">
      <c r="B39" s="43">
        <v>43476</v>
      </c>
      <c r="E39" s="42"/>
      <c r="F39" s="42"/>
      <c r="G39" s="42"/>
      <c r="J39" s="43">
        <v>43464</v>
      </c>
      <c r="M39" s="42"/>
      <c r="N39" s="42"/>
      <c r="O39" s="42"/>
      <c r="R39" s="43">
        <v>43478</v>
      </c>
    </row>
    <row r="40" spans="2:18" x14ac:dyDescent="0.2">
      <c r="B40" s="43">
        <v>43477</v>
      </c>
      <c r="E40" s="42"/>
      <c r="F40" s="42"/>
      <c r="G40" s="42"/>
      <c r="J40" s="43">
        <v>43465</v>
      </c>
      <c r="M40" s="42"/>
      <c r="N40" s="42"/>
      <c r="O40" s="42"/>
      <c r="R40" s="43">
        <v>43479</v>
      </c>
    </row>
    <row r="41" spans="2:18" x14ac:dyDescent="0.2">
      <c r="B41" s="43">
        <v>43478</v>
      </c>
      <c r="E41" s="42"/>
      <c r="F41" s="42"/>
      <c r="G41" s="42"/>
      <c r="J41" s="43">
        <v>43466</v>
      </c>
      <c r="M41" s="42"/>
      <c r="N41" s="42"/>
      <c r="O41" s="42"/>
      <c r="R41" s="43">
        <v>43480</v>
      </c>
    </row>
    <row r="42" spans="2:18" x14ac:dyDescent="0.2">
      <c r="B42" s="43">
        <v>43479</v>
      </c>
      <c r="E42" s="42"/>
      <c r="F42" s="42"/>
      <c r="G42" s="42"/>
      <c r="J42" s="43">
        <v>43467</v>
      </c>
      <c r="M42" s="42"/>
      <c r="N42" s="42"/>
      <c r="O42" s="42"/>
      <c r="R42" s="43">
        <v>43481</v>
      </c>
    </row>
    <row r="43" spans="2:18" x14ac:dyDescent="0.2">
      <c r="B43" s="43">
        <v>43480</v>
      </c>
      <c r="E43" s="42"/>
      <c r="F43" s="42"/>
      <c r="G43" s="42"/>
      <c r="J43" s="43">
        <v>43468</v>
      </c>
      <c r="M43" s="42"/>
      <c r="N43" s="42"/>
      <c r="O43" s="42"/>
      <c r="R43" s="43">
        <v>43482</v>
      </c>
    </row>
    <row r="44" spans="2:18" x14ac:dyDescent="0.2">
      <c r="B44" s="43">
        <v>43481</v>
      </c>
      <c r="E44" s="42"/>
      <c r="F44" s="42"/>
      <c r="G44" s="42"/>
      <c r="J44" s="43">
        <v>43469</v>
      </c>
      <c r="M44" s="42"/>
      <c r="N44" s="42"/>
      <c r="O44" s="42"/>
      <c r="R44" s="43">
        <v>43483</v>
      </c>
    </row>
    <row r="45" spans="2:18" x14ac:dyDescent="0.2">
      <c r="B45" s="43">
        <v>43482</v>
      </c>
      <c r="E45" s="42"/>
      <c r="F45" s="42"/>
      <c r="G45" s="42"/>
      <c r="J45" s="43">
        <v>43470</v>
      </c>
      <c r="M45" s="42"/>
      <c r="N45" s="42"/>
      <c r="O45" s="42"/>
      <c r="R45" s="43">
        <v>43484</v>
      </c>
    </row>
    <row r="46" spans="2:18" x14ac:dyDescent="0.2">
      <c r="B46" s="43">
        <v>43483</v>
      </c>
      <c r="E46" s="42"/>
      <c r="F46" s="42"/>
      <c r="G46" s="42"/>
      <c r="J46" s="43">
        <v>43471</v>
      </c>
      <c r="M46" s="42"/>
      <c r="N46" s="42"/>
      <c r="O46" s="42"/>
      <c r="R46" s="43">
        <v>43485</v>
      </c>
    </row>
    <row r="47" spans="2:18" x14ac:dyDescent="0.2">
      <c r="B47" s="43">
        <v>43484</v>
      </c>
      <c r="E47" s="42"/>
      <c r="F47" s="42"/>
      <c r="G47" s="42"/>
      <c r="J47" s="43">
        <v>43472</v>
      </c>
      <c r="M47" s="42"/>
      <c r="N47" s="42"/>
      <c r="O47" s="42"/>
      <c r="R47" s="43">
        <v>43486</v>
      </c>
    </row>
    <row r="48" spans="2:18" x14ac:dyDescent="0.2">
      <c r="B48" s="43">
        <v>43485</v>
      </c>
      <c r="E48" s="42"/>
      <c r="F48" s="42"/>
      <c r="G48" s="42"/>
      <c r="J48" s="43">
        <v>43473</v>
      </c>
      <c r="M48" s="42"/>
      <c r="N48" s="42"/>
      <c r="O48" s="42"/>
      <c r="R48" s="43">
        <v>43487</v>
      </c>
    </row>
    <row r="49" spans="2:18" x14ac:dyDescent="0.2">
      <c r="B49" s="43">
        <v>43486</v>
      </c>
      <c r="E49" s="42"/>
      <c r="F49" s="42"/>
      <c r="G49" s="42"/>
      <c r="J49" s="43">
        <v>43474</v>
      </c>
      <c r="M49" s="42"/>
      <c r="N49" s="42"/>
      <c r="O49" s="42"/>
      <c r="R49" s="43">
        <v>43488</v>
      </c>
    </row>
    <row r="50" spans="2:18" x14ac:dyDescent="0.2">
      <c r="B50" s="43">
        <v>43487</v>
      </c>
      <c r="E50" s="42"/>
      <c r="F50" s="42"/>
      <c r="G50" s="42"/>
      <c r="J50" s="43">
        <v>43475</v>
      </c>
      <c r="M50" s="42"/>
      <c r="N50" s="42"/>
      <c r="O50" s="42"/>
      <c r="R50" s="43">
        <v>43489</v>
      </c>
    </row>
    <row r="51" spans="2:18" x14ac:dyDescent="0.2">
      <c r="B51" s="43">
        <v>43488</v>
      </c>
      <c r="E51" s="42"/>
      <c r="F51" s="42"/>
      <c r="G51" s="42"/>
      <c r="J51" s="43">
        <v>43476</v>
      </c>
      <c r="M51" s="42"/>
      <c r="N51" s="42"/>
      <c r="O51" s="42"/>
      <c r="R51" s="43">
        <v>43490</v>
      </c>
    </row>
    <row r="52" spans="2:18" x14ac:dyDescent="0.2">
      <c r="B52" s="43">
        <v>43489</v>
      </c>
      <c r="E52" s="42"/>
      <c r="F52" s="42"/>
      <c r="G52" s="42"/>
      <c r="J52" s="43">
        <v>43477</v>
      </c>
      <c r="M52" s="42"/>
      <c r="N52" s="42"/>
      <c r="O52" s="42"/>
      <c r="R52" s="43">
        <v>43491</v>
      </c>
    </row>
    <row r="53" spans="2:18" x14ac:dyDescent="0.2">
      <c r="B53" s="43">
        <v>43490</v>
      </c>
      <c r="E53" s="42"/>
      <c r="F53" s="42"/>
      <c r="G53" s="42"/>
      <c r="J53" s="43">
        <v>43478</v>
      </c>
      <c r="M53" s="42"/>
      <c r="N53" s="42"/>
      <c r="O53" s="42"/>
      <c r="R53" s="43">
        <v>43492</v>
      </c>
    </row>
    <row r="54" spans="2:18" x14ac:dyDescent="0.2">
      <c r="B54" s="43">
        <v>43491</v>
      </c>
      <c r="E54" s="42"/>
      <c r="F54" s="42"/>
      <c r="G54" s="42"/>
      <c r="J54" s="43">
        <v>43479</v>
      </c>
      <c r="M54" s="42"/>
      <c r="N54" s="42"/>
      <c r="O54" s="42"/>
      <c r="R54" s="43">
        <v>43493</v>
      </c>
    </row>
    <row r="55" spans="2:18" x14ac:dyDescent="0.2">
      <c r="B55" s="43">
        <v>43492</v>
      </c>
      <c r="E55" s="42"/>
      <c r="F55" s="42"/>
      <c r="G55" s="42"/>
      <c r="J55" s="43">
        <v>43480</v>
      </c>
      <c r="M55" s="42"/>
      <c r="N55" s="42"/>
      <c r="O55" s="42"/>
      <c r="R55" s="43">
        <v>43494</v>
      </c>
    </row>
    <row r="56" spans="2:18" x14ac:dyDescent="0.2">
      <c r="B56" s="43">
        <v>43493</v>
      </c>
      <c r="E56" s="42"/>
      <c r="F56" s="42"/>
      <c r="G56" s="42"/>
      <c r="J56" s="43">
        <v>43481</v>
      </c>
      <c r="M56" s="42"/>
      <c r="N56" s="42"/>
      <c r="O56" s="42"/>
      <c r="R56" s="43">
        <v>43495</v>
      </c>
    </row>
    <row r="57" spans="2:18" x14ac:dyDescent="0.2">
      <c r="B57" s="43">
        <v>43494</v>
      </c>
      <c r="E57" s="42"/>
      <c r="F57" s="42"/>
      <c r="G57" s="42"/>
      <c r="J57" s="43">
        <v>43482</v>
      </c>
      <c r="M57" s="42"/>
      <c r="N57" s="42"/>
      <c r="O57" s="42"/>
      <c r="R57" s="43">
        <v>43496</v>
      </c>
    </row>
    <row r="58" spans="2:18" x14ac:dyDescent="0.2">
      <c r="B58" s="43">
        <v>43495</v>
      </c>
      <c r="E58" s="42"/>
      <c r="F58" s="42"/>
      <c r="G58" s="42"/>
      <c r="J58" s="43">
        <v>43483</v>
      </c>
      <c r="M58" s="42"/>
      <c r="N58" s="42"/>
      <c r="O58" s="42"/>
      <c r="R58" s="43">
        <v>43497</v>
      </c>
    </row>
    <row r="59" spans="2:18" x14ac:dyDescent="0.2">
      <c r="B59" s="43">
        <v>43496</v>
      </c>
      <c r="E59" s="42"/>
      <c r="F59" s="42"/>
      <c r="G59" s="42"/>
      <c r="J59" s="43">
        <v>43484</v>
      </c>
      <c r="M59" s="42"/>
      <c r="N59" s="42"/>
      <c r="O59" s="42"/>
      <c r="R59" s="43">
        <v>43498</v>
      </c>
    </row>
    <row r="60" spans="2:18" x14ac:dyDescent="0.2">
      <c r="B60" s="43">
        <v>43497</v>
      </c>
      <c r="E60" s="42"/>
      <c r="F60" s="42"/>
      <c r="G60" s="42"/>
      <c r="J60" s="43">
        <v>43485</v>
      </c>
      <c r="M60" s="42"/>
      <c r="N60" s="42"/>
      <c r="O60" s="42"/>
      <c r="R60" s="43">
        <v>43499</v>
      </c>
    </row>
    <row r="61" spans="2:18" x14ac:dyDescent="0.2">
      <c r="B61" s="43">
        <v>43498</v>
      </c>
      <c r="E61" s="42"/>
      <c r="F61" s="42"/>
      <c r="G61" s="42"/>
      <c r="J61" s="43">
        <v>43486</v>
      </c>
      <c r="M61" s="42"/>
      <c r="N61" s="42"/>
      <c r="O61" s="42"/>
      <c r="R61" s="43">
        <v>43500</v>
      </c>
    </row>
    <row r="62" spans="2:18" x14ac:dyDescent="0.2">
      <c r="B62" s="43">
        <v>43499</v>
      </c>
      <c r="E62" s="42"/>
      <c r="F62" s="42"/>
      <c r="G62" s="42"/>
      <c r="J62" s="43">
        <v>43487</v>
      </c>
      <c r="M62" s="42"/>
      <c r="N62" s="42"/>
      <c r="O62" s="42"/>
      <c r="R62" s="43">
        <v>43501</v>
      </c>
    </row>
    <row r="63" spans="2:18" x14ac:dyDescent="0.2">
      <c r="B63" s="43">
        <v>43500</v>
      </c>
      <c r="E63" s="42"/>
      <c r="F63" s="42"/>
      <c r="G63" s="42"/>
      <c r="J63" s="43">
        <v>43488</v>
      </c>
      <c r="M63" s="42"/>
      <c r="N63" s="42"/>
      <c r="O63" s="42"/>
      <c r="R63" s="43">
        <v>43502</v>
      </c>
    </row>
    <row r="64" spans="2:18" x14ac:dyDescent="0.2">
      <c r="B64" s="43">
        <v>43501</v>
      </c>
      <c r="E64" s="42"/>
      <c r="F64" s="42"/>
      <c r="G64" s="42"/>
      <c r="J64" s="43">
        <v>43489</v>
      </c>
      <c r="M64" s="42"/>
      <c r="N64" s="42"/>
      <c r="O64" s="42"/>
      <c r="R64" s="43">
        <v>43503</v>
      </c>
    </row>
    <row r="65" spans="2:18" x14ac:dyDescent="0.2">
      <c r="B65" s="43">
        <v>43502</v>
      </c>
      <c r="E65" s="42"/>
      <c r="F65" s="42"/>
      <c r="G65" s="42"/>
      <c r="J65" s="43">
        <v>43490</v>
      </c>
      <c r="M65" s="42"/>
      <c r="N65" s="42"/>
      <c r="O65" s="42"/>
      <c r="R65" s="43">
        <v>43504</v>
      </c>
    </row>
    <row r="66" spans="2:18" x14ac:dyDescent="0.2">
      <c r="B66" s="43">
        <v>43503</v>
      </c>
      <c r="E66" s="42"/>
      <c r="F66" s="42"/>
      <c r="G66" s="42"/>
      <c r="J66" s="43">
        <v>43491</v>
      </c>
      <c r="M66" s="42"/>
      <c r="N66" s="42"/>
      <c r="O66" s="42"/>
      <c r="R66" s="43">
        <v>43505</v>
      </c>
    </row>
    <row r="67" spans="2:18" x14ac:dyDescent="0.2">
      <c r="B67" s="43">
        <v>43504</v>
      </c>
      <c r="E67" s="42"/>
      <c r="F67" s="42"/>
      <c r="G67" s="42"/>
      <c r="J67" s="43">
        <v>43492</v>
      </c>
      <c r="M67" s="42"/>
      <c r="N67" s="42"/>
      <c r="O67" s="42"/>
      <c r="R67" s="43">
        <v>43506</v>
      </c>
    </row>
    <row r="68" spans="2:18" x14ac:dyDescent="0.2">
      <c r="B68" s="43">
        <v>43505</v>
      </c>
      <c r="E68" s="42"/>
      <c r="F68" s="42"/>
      <c r="G68" s="42"/>
      <c r="J68" s="43">
        <v>43493</v>
      </c>
      <c r="M68" s="42"/>
      <c r="N68" s="42"/>
      <c r="O68" s="42"/>
      <c r="R68" s="43">
        <v>43507</v>
      </c>
    </row>
    <row r="69" spans="2:18" x14ac:dyDescent="0.2">
      <c r="B69" s="43">
        <v>43506</v>
      </c>
      <c r="E69" s="42"/>
      <c r="F69" s="42"/>
      <c r="G69" s="42"/>
      <c r="J69" s="43">
        <v>43494</v>
      </c>
      <c r="M69" s="42"/>
      <c r="N69" s="42"/>
      <c r="O69" s="42"/>
      <c r="R69" s="43">
        <v>43508</v>
      </c>
    </row>
    <row r="70" spans="2:18" x14ac:dyDescent="0.2">
      <c r="B70" s="43">
        <v>43507</v>
      </c>
      <c r="E70" s="42"/>
      <c r="F70" s="42"/>
      <c r="G70" s="42"/>
      <c r="J70" s="43">
        <v>43495</v>
      </c>
      <c r="M70" s="42"/>
      <c r="N70" s="42"/>
      <c r="O70" s="42"/>
      <c r="R70" s="43">
        <v>43509</v>
      </c>
    </row>
    <row r="71" spans="2:18" x14ac:dyDescent="0.2">
      <c r="B71" s="43">
        <v>43508</v>
      </c>
      <c r="E71" s="42"/>
      <c r="F71" s="42"/>
      <c r="G71" s="42"/>
      <c r="J71" s="43">
        <v>43496</v>
      </c>
      <c r="M71" s="42"/>
      <c r="N71" s="42"/>
      <c r="O71" s="42"/>
      <c r="R71" s="43">
        <v>43510</v>
      </c>
    </row>
    <row r="72" spans="2:18" x14ac:dyDescent="0.2">
      <c r="B72" s="43">
        <v>43509</v>
      </c>
      <c r="E72" s="42"/>
      <c r="F72" s="42"/>
      <c r="G72" s="42"/>
      <c r="J72" s="43">
        <v>43497</v>
      </c>
      <c r="M72" s="42"/>
      <c r="N72" s="42"/>
      <c r="O72" s="42"/>
      <c r="R72" s="43">
        <v>43511</v>
      </c>
    </row>
    <row r="73" spans="2:18" x14ac:dyDescent="0.2">
      <c r="B73" s="43">
        <v>43510</v>
      </c>
      <c r="E73" s="42"/>
      <c r="F73" s="42"/>
      <c r="G73" s="42"/>
      <c r="J73" s="43">
        <v>43498</v>
      </c>
      <c r="M73" s="42"/>
      <c r="N73" s="42"/>
      <c r="O73" s="42"/>
      <c r="R73" s="43">
        <v>43512</v>
      </c>
    </row>
    <row r="74" spans="2:18" x14ac:dyDescent="0.2">
      <c r="B74" s="43">
        <v>43511</v>
      </c>
      <c r="E74" s="42"/>
      <c r="F74" s="42"/>
      <c r="G74" s="42"/>
      <c r="J74" s="43">
        <v>43499</v>
      </c>
      <c r="M74" s="42"/>
      <c r="N74" s="42"/>
      <c r="O74" s="42"/>
      <c r="R74" s="43">
        <v>43513</v>
      </c>
    </row>
    <row r="75" spans="2:18" x14ac:dyDescent="0.2">
      <c r="B75" s="43">
        <v>43512</v>
      </c>
      <c r="E75" s="42"/>
      <c r="F75" s="42"/>
      <c r="G75" s="42"/>
      <c r="J75" s="43">
        <v>43500</v>
      </c>
      <c r="M75" s="42"/>
      <c r="N75" s="42"/>
      <c r="O75" s="42"/>
      <c r="R75" s="43">
        <v>43514</v>
      </c>
    </row>
    <row r="76" spans="2:18" x14ac:dyDescent="0.2">
      <c r="B76" s="43">
        <v>43513</v>
      </c>
      <c r="E76" s="42"/>
      <c r="F76" s="42"/>
      <c r="G76" s="42"/>
      <c r="J76" s="43">
        <v>43501</v>
      </c>
      <c r="M76" s="42"/>
      <c r="N76" s="42"/>
      <c r="O76" s="42"/>
      <c r="R76" s="43">
        <v>43515</v>
      </c>
    </row>
    <row r="77" spans="2:18" x14ac:dyDescent="0.2">
      <c r="B77" s="43">
        <v>43514</v>
      </c>
      <c r="E77" s="42"/>
      <c r="F77" s="42"/>
      <c r="G77" s="42"/>
      <c r="J77" s="43">
        <v>43502</v>
      </c>
      <c r="M77" s="42"/>
      <c r="N77" s="42"/>
      <c r="O77" s="42"/>
      <c r="R77" s="43">
        <v>43516</v>
      </c>
    </row>
    <row r="78" spans="2:18" x14ac:dyDescent="0.2">
      <c r="B78" s="43">
        <v>43515</v>
      </c>
      <c r="E78" s="42"/>
      <c r="F78" s="42"/>
      <c r="G78" s="42"/>
      <c r="J78" s="43">
        <v>43503</v>
      </c>
      <c r="M78" s="42"/>
      <c r="N78" s="42"/>
      <c r="O78" s="42"/>
      <c r="R78" s="43">
        <v>43517</v>
      </c>
    </row>
    <row r="79" spans="2:18" x14ac:dyDescent="0.2">
      <c r="B79" s="43">
        <v>43516</v>
      </c>
      <c r="E79" s="42"/>
      <c r="F79" s="42"/>
      <c r="G79" s="42"/>
      <c r="J79" s="43">
        <v>43504</v>
      </c>
      <c r="M79" s="42"/>
      <c r="N79" s="42"/>
      <c r="O79" s="42"/>
      <c r="R79" s="43">
        <v>43518</v>
      </c>
    </row>
    <row r="80" spans="2:18" x14ac:dyDescent="0.2">
      <c r="B80" s="43">
        <v>43517</v>
      </c>
      <c r="E80" s="42"/>
      <c r="F80" s="42"/>
      <c r="G80" s="42"/>
      <c r="J80" s="43">
        <v>43505</v>
      </c>
      <c r="M80" s="42"/>
      <c r="N80" s="42"/>
      <c r="O80" s="42"/>
      <c r="R80" s="43">
        <v>43519</v>
      </c>
    </row>
    <row r="81" spans="2:18" x14ac:dyDescent="0.2">
      <c r="B81" s="43">
        <v>43518</v>
      </c>
      <c r="E81" s="42"/>
      <c r="F81" s="42"/>
      <c r="G81" s="42"/>
      <c r="J81" s="43">
        <v>43506</v>
      </c>
      <c r="M81" s="42"/>
      <c r="N81" s="42"/>
      <c r="O81" s="42"/>
      <c r="R81" s="43">
        <v>43520</v>
      </c>
    </row>
    <row r="82" spans="2:18" x14ac:dyDescent="0.2">
      <c r="B82" s="43">
        <v>43519</v>
      </c>
      <c r="E82" s="42"/>
      <c r="F82" s="42"/>
      <c r="G82" s="42"/>
      <c r="J82" s="43">
        <v>43507</v>
      </c>
      <c r="M82" s="42"/>
      <c r="N82" s="42"/>
      <c r="O82" s="42"/>
      <c r="R82" s="43">
        <v>43521</v>
      </c>
    </row>
    <row r="83" spans="2:18" x14ac:dyDescent="0.2">
      <c r="B83" s="43">
        <v>43520</v>
      </c>
      <c r="E83" s="42"/>
      <c r="F83" s="42"/>
      <c r="G83" s="42"/>
      <c r="J83" s="43">
        <v>43508</v>
      </c>
      <c r="M83" s="42"/>
      <c r="N83" s="42"/>
      <c r="O83" s="42"/>
      <c r="R83" s="43">
        <v>43522</v>
      </c>
    </row>
    <row r="84" spans="2:18" x14ac:dyDescent="0.2">
      <c r="B84" s="43">
        <v>43521</v>
      </c>
      <c r="E84" s="42"/>
      <c r="F84" s="42"/>
      <c r="G84" s="42"/>
      <c r="J84" s="43">
        <v>43509</v>
      </c>
      <c r="M84" s="42"/>
      <c r="N84" s="42"/>
      <c r="O84" s="42"/>
      <c r="R84" s="43">
        <v>43523</v>
      </c>
    </row>
    <row r="85" spans="2:18" x14ac:dyDescent="0.2">
      <c r="B85" s="43">
        <v>43522</v>
      </c>
      <c r="E85" s="42"/>
      <c r="F85" s="42"/>
      <c r="G85" s="42"/>
      <c r="J85" s="43">
        <v>43510</v>
      </c>
      <c r="M85" s="42"/>
      <c r="N85" s="42"/>
      <c r="O85" s="42"/>
      <c r="R85" s="43">
        <v>43524</v>
      </c>
    </row>
    <row r="86" spans="2:18" x14ac:dyDescent="0.2">
      <c r="B86" s="43">
        <v>43523</v>
      </c>
      <c r="E86" s="42"/>
      <c r="F86" s="42"/>
      <c r="G86" s="42"/>
      <c r="J86" s="43">
        <v>43511</v>
      </c>
      <c r="M86" s="42"/>
      <c r="N86" s="42"/>
      <c r="O86" s="42"/>
      <c r="R86" s="43">
        <v>43525</v>
      </c>
    </row>
    <row r="87" spans="2:18" x14ac:dyDescent="0.2">
      <c r="B87" s="43">
        <v>43524</v>
      </c>
      <c r="E87" s="42"/>
      <c r="F87" s="42"/>
      <c r="G87" s="42"/>
      <c r="J87" s="43">
        <v>43512</v>
      </c>
      <c r="M87" s="42"/>
      <c r="N87" s="42"/>
      <c r="O87" s="42"/>
      <c r="R87" s="43">
        <v>43526</v>
      </c>
    </row>
    <row r="88" spans="2:18" x14ac:dyDescent="0.2">
      <c r="B88" s="43">
        <v>43525</v>
      </c>
      <c r="E88" s="42"/>
      <c r="F88" s="42"/>
      <c r="G88" s="42"/>
      <c r="J88" s="43">
        <v>43513</v>
      </c>
      <c r="M88" s="42"/>
      <c r="N88" s="42"/>
      <c r="O88" s="42"/>
      <c r="R88" s="43">
        <v>43527</v>
      </c>
    </row>
    <row r="89" spans="2:18" x14ac:dyDescent="0.2">
      <c r="B89" s="43">
        <v>43526</v>
      </c>
      <c r="E89" s="42"/>
      <c r="F89" s="42"/>
      <c r="G89" s="42"/>
      <c r="J89" s="43">
        <v>43514</v>
      </c>
      <c r="M89" s="42"/>
      <c r="N89" s="42"/>
      <c r="O89" s="42"/>
      <c r="R89" s="43">
        <v>43528</v>
      </c>
    </row>
    <row r="90" spans="2:18" x14ac:dyDescent="0.2">
      <c r="B90" s="43">
        <v>43527</v>
      </c>
      <c r="E90" s="42"/>
      <c r="F90" s="42"/>
      <c r="G90" s="42"/>
      <c r="J90" s="43">
        <v>43515</v>
      </c>
      <c r="M90" s="42"/>
      <c r="N90" s="42"/>
      <c r="O90" s="42"/>
      <c r="R90" s="43">
        <v>43529</v>
      </c>
    </row>
    <row r="91" spans="2:18" x14ac:dyDescent="0.2">
      <c r="B91" s="43">
        <v>43528</v>
      </c>
      <c r="E91" s="42"/>
      <c r="F91" s="42"/>
      <c r="G91" s="42"/>
      <c r="J91" s="43">
        <v>43516</v>
      </c>
      <c r="M91" s="42"/>
      <c r="N91" s="42"/>
      <c r="O91" s="42"/>
      <c r="R91" s="43">
        <v>43530</v>
      </c>
    </row>
    <row r="92" spans="2:18" x14ac:dyDescent="0.2">
      <c r="B92" s="43">
        <v>43529</v>
      </c>
      <c r="E92" s="42"/>
      <c r="F92" s="42"/>
      <c r="G92" s="42"/>
      <c r="J92" s="43">
        <v>43517</v>
      </c>
      <c r="M92" s="42"/>
      <c r="N92" s="42"/>
      <c r="O92" s="42"/>
      <c r="R92" s="43">
        <v>43531</v>
      </c>
    </row>
    <row r="93" spans="2:18" x14ac:dyDescent="0.2">
      <c r="B93" s="43">
        <v>43530</v>
      </c>
      <c r="E93" s="42"/>
      <c r="F93" s="42"/>
      <c r="G93" s="42"/>
      <c r="J93" s="43">
        <v>43518</v>
      </c>
      <c r="M93" s="42"/>
      <c r="N93" s="42"/>
      <c r="O93" s="42"/>
      <c r="R93" s="43">
        <v>43532</v>
      </c>
    </row>
    <row r="94" spans="2:18" x14ac:dyDescent="0.2">
      <c r="B94" s="43">
        <v>43531</v>
      </c>
      <c r="E94" s="42"/>
      <c r="F94" s="42"/>
      <c r="G94" s="42"/>
      <c r="J94" s="43">
        <v>43519</v>
      </c>
      <c r="M94" s="42"/>
      <c r="N94" s="42"/>
      <c r="O94" s="42"/>
      <c r="R94" s="43">
        <v>43533</v>
      </c>
    </row>
    <row r="95" spans="2:18" x14ac:dyDescent="0.2">
      <c r="B95" s="43">
        <v>43532</v>
      </c>
      <c r="E95" s="42"/>
      <c r="F95" s="42"/>
      <c r="G95" s="42"/>
      <c r="J95" s="43">
        <v>43520</v>
      </c>
      <c r="M95" s="42"/>
      <c r="N95" s="42"/>
      <c r="O95" s="42"/>
      <c r="R95" s="43">
        <v>43534</v>
      </c>
    </row>
    <row r="96" spans="2:18" x14ac:dyDescent="0.2">
      <c r="B96" s="43">
        <v>43533</v>
      </c>
      <c r="E96" s="42"/>
      <c r="F96" s="42"/>
      <c r="G96" s="42"/>
      <c r="J96" s="43">
        <v>43521</v>
      </c>
      <c r="M96" s="42"/>
      <c r="N96" s="42"/>
      <c r="O96" s="42"/>
      <c r="R96" s="43">
        <v>43535</v>
      </c>
    </row>
    <row r="97" spans="2:23" x14ac:dyDescent="0.2">
      <c r="B97" s="43">
        <v>43534</v>
      </c>
      <c r="E97" s="42"/>
      <c r="F97" s="42"/>
      <c r="G97" s="42"/>
      <c r="J97" s="43">
        <v>43522</v>
      </c>
      <c r="M97" s="42"/>
      <c r="N97" s="42"/>
      <c r="O97" s="42"/>
      <c r="R97" s="43">
        <v>43536</v>
      </c>
    </row>
    <row r="98" spans="2:23" x14ac:dyDescent="0.2">
      <c r="B98" s="43">
        <v>43535</v>
      </c>
      <c r="E98" s="42"/>
      <c r="F98" s="42"/>
      <c r="G98" s="42"/>
      <c r="J98" s="43">
        <v>43523</v>
      </c>
      <c r="M98" s="42"/>
      <c r="N98" s="42"/>
      <c r="O98" s="42"/>
      <c r="R98" s="43">
        <v>43537</v>
      </c>
    </row>
    <row r="99" spans="2:23" x14ac:dyDescent="0.2">
      <c r="B99" s="43">
        <v>43536</v>
      </c>
      <c r="E99" s="42"/>
      <c r="F99" s="42"/>
      <c r="G99" s="42"/>
      <c r="J99" s="43">
        <v>43524</v>
      </c>
      <c r="M99" s="42"/>
      <c r="N99" s="42"/>
      <c r="O99" s="42"/>
      <c r="R99" s="43">
        <v>43538</v>
      </c>
    </row>
    <row r="100" spans="2:23" x14ac:dyDescent="0.2">
      <c r="B100" s="43">
        <v>43537</v>
      </c>
      <c r="E100" s="42"/>
      <c r="F100" s="42"/>
      <c r="G100" s="42"/>
      <c r="J100" s="43">
        <v>43525</v>
      </c>
      <c r="M100" s="42"/>
      <c r="N100" s="42"/>
      <c r="O100" s="42"/>
      <c r="R100" s="43">
        <v>43539</v>
      </c>
    </row>
    <row r="101" spans="2:23" x14ac:dyDescent="0.2">
      <c r="B101" s="43">
        <v>43538</v>
      </c>
      <c r="E101" s="42"/>
      <c r="F101" s="42"/>
      <c r="G101" s="42"/>
      <c r="J101" s="43">
        <v>43526</v>
      </c>
      <c r="M101" s="42"/>
      <c r="N101" s="42"/>
      <c r="O101" s="42"/>
      <c r="R101" s="43">
        <v>43540</v>
      </c>
    </row>
    <row r="102" spans="2:23" x14ac:dyDescent="0.2">
      <c r="B102" s="43">
        <v>43539</v>
      </c>
      <c r="E102" s="42"/>
      <c r="F102" s="42"/>
      <c r="G102" s="42"/>
      <c r="J102" s="43">
        <v>43527</v>
      </c>
      <c r="M102" s="42"/>
      <c r="N102" s="42"/>
      <c r="O102" s="42"/>
      <c r="R102" s="43">
        <v>43541</v>
      </c>
    </row>
    <row r="103" spans="2:23" x14ac:dyDescent="0.2">
      <c r="B103" s="43">
        <v>43540</v>
      </c>
      <c r="E103" s="42"/>
      <c r="F103" s="42"/>
      <c r="G103" s="42"/>
      <c r="J103" s="43">
        <v>43528</v>
      </c>
      <c r="M103" s="42"/>
      <c r="N103" s="42"/>
      <c r="O103" s="42"/>
      <c r="R103" s="43">
        <v>43542</v>
      </c>
    </row>
    <row r="104" spans="2:23" x14ac:dyDescent="0.2">
      <c r="B104" s="43">
        <v>43541</v>
      </c>
      <c r="E104" s="42"/>
      <c r="F104" s="42"/>
      <c r="G104" s="42"/>
      <c r="J104" s="43">
        <v>43529</v>
      </c>
      <c r="M104" s="42"/>
      <c r="N104" s="42"/>
      <c r="O104" s="42"/>
      <c r="R104" s="43">
        <v>43543</v>
      </c>
    </row>
    <row r="105" spans="2:23" x14ac:dyDescent="0.2">
      <c r="B105" s="43">
        <v>43542</v>
      </c>
      <c r="E105" s="42"/>
      <c r="F105" s="42"/>
      <c r="G105" s="42"/>
      <c r="J105" s="43">
        <v>43530</v>
      </c>
      <c r="M105" s="42"/>
      <c r="N105" s="42"/>
      <c r="O105" s="42"/>
      <c r="R105" s="43">
        <v>43544</v>
      </c>
    </row>
    <row r="106" spans="2:23" x14ac:dyDescent="0.2">
      <c r="B106" s="43">
        <v>43543</v>
      </c>
      <c r="E106" s="42"/>
      <c r="F106" s="42"/>
      <c r="G106" s="42"/>
      <c r="J106" s="43">
        <v>43531</v>
      </c>
      <c r="M106" s="42"/>
      <c r="N106" s="42"/>
      <c r="O106" s="42"/>
      <c r="Q106">
        <v>1</v>
      </c>
      <c r="R106" s="43">
        <v>43545</v>
      </c>
      <c r="U106" s="42">
        <v>-1.35</v>
      </c>
      <c r="W106" s="42">
        <f>U106/100</f>
        <v>-1.3500000000000002E-2</v>
      </c>
    </row>
    <row r="107" spans="2:23" x14ac:dyDescent="0.2">
      <c r="B107" s="43">
        <v>43544</v>
      </c>
      <c r="E107" s="42"/>
      <c r="F107" s="42"/>
      <c r="G107" s="42"/>
      <c r="J107" s="43">
        <v>43532</v>
      </c>
      <c r="M107" s="42"/>
      <c r="N107" s="42"/>
      <c r="O107" s="42"/>
      <c r="Q107">
        <v>2</v>
      </c>
      <c r="R107" s="43">
        <v>43546</v>
      </c>
      <c r="U107" s="42">
        <v>-1.45169623</v>
      </c>
      <c r="W107" s="42">
        <f t="shared" ref="W107:W114" si="3">U107/100</f>
        <v>-1.45169623E-2</v>
      </c>
    </row>
    <row r="108" spans="2:23" x14ac:dyDescent="0.2">
      <c r="B108" s="43">
        <v>43545</v>
      </c>
      <c r="E108" s="42"/>
      <c r="F108" s="42"/>
      <c r="G108" s="42"/>
      <c r="J108" s="43">
        <v>43533</v>
      </c>
      <c r="M108" s="42"/>
      <c r="N108" s="42"/>
      <c r="O108" s="42"/>
      <c r="Q108">
        <v>3</v>
      </c>
      <c r="R108" s="43">
        <v>43547</v>
      </c>
      <c r="U108" s="42">
        <v>-1.42197876</v>
      </c>
      <c r="W108" s="42">
        <f t="shared" si="3"/>
        <v>-1.42197876E-2</v>
      </c>
    </row>
    <row r="109" spans="2:23" x14ac:dyDescent="0.2">
      <c r="B109" s="43">
        <v>43546</v>
      </c>
      <c r="E109" s="42"/>
      <c r="F109" s="42"/>
      <c r="G109" s="42"/>
      <c r="J109" s="43">
        <v>43534</v>
      </c>
      <c r="M109" s="42"/>
      <c r="N109" s="42"/>
      <c r="O109" s="42"/>
      <c r="Q109">
        <v>4</v>
      </c>
      <c r="R109" s="43">
        <v>43548</v>
      </c>
      <c r="U109" s="42">
        <v>-1.4</v>
      </c>
      <c r="W109" s="42">
        <f t="shared" si="3"/>
        <v>-1.3999999999999999E-2</v>
      </c>
    </row>
    <row r="110" spans="2:23" x14ac:dyDescent="0.2">
      <c r="B110" s="43">
        <v>43547</v>
      </c>
      <c r="E110" s="42"/>
      <c r="F110" s="42"/>
      <c r="G110" s="42"/>
      <c r="J110" s="43">
        <v>43535</v>
      </c>
      <c r="M110" s="42"/>
      <c r="N110" s="42"/>
      <c r="O110" s="42"/>
      <c r="Q110">
        <v>5</v>
      </c>
      <c r="R110" s="43">
        <v>43549</v>
      </c>
      <c r="U110" s="42">
        <v>-1.3706938799999999</v>
      </c>
      <c r="W110" s="42">
        <f t="shared" si="3"/>
        <v>-1.3706938799999999E-2</v>
      </c>
    </row>
    <row r="111" spans="2:23" x14ac:dyDescent="0.2">
      <c r="B111" s="43">
        <v>43548</v>
      </c>
      <c r="E111" s="42"/>
      <c r="F111" s="42"/>
      <c r="G111" s="42"/>
      <c r="J111" s="43">
        <v>43536</v>
      </c>
      <c r="M111" s="42"/>
      <c r="N111" s="42"/>
      <c r="O111" s="42"/>
      <c r="Q111">
        <v>6</v>
      </c>
      <c r="R111" s="43">
        <v>43550</v>
      </c>
      <c r="U111" s="42">
        <v>-1.45</v>
      </c>
      <c r="W111" s="42">
        <f t="shared" si="3"/>
        <v>-1.4499999999999999E-2</v>
      </c>
    </row>
    <row r="112" spans="2:23" x14ac:dyDescent="0.2">
      <c r="B112" s="43">
        <v>43549</v>
      </c>
      <c r="E112" s="42"/>
      <c r="F112" s="42"/>
      <c r="G112" s="42"/>
      <c r="J112" s="43">
        <v>43537</v>
      </c>
      <c r="M112" s="42"/>
      <c r="N112" s="42"/>
      <c r="O112" s="42"/>
      <c r="Q112">
        <v>7</v>
      </c>
      <c r="R112" s="43">
        <v>43551</v>
      </c>
      <c r="U112" s="42">
        <v>-1.49989127</v>
      </c>
      <c r="W112" s="42">
        <f t="shared" si="3"/>
        <v>-1.49989127E-2</v>
      </c>
    </row>
    <row r="113" spans="2:23" x14ac:dyDescent="0.2">
      <c r="B113" s="43">
        <v>43550</v>
      </c>
      <c r="E113" s="42"/>
      <c r="F113" s="42"/>
      <c r="G113" s="42"/>
      <c r="J113" s="43">
        <v>43538</v>
      </c>
      <c r="M113" s="42"/>
      <c r="N113" s="42"/>
      <c r="O113" s="42"/>
      <c r="Q113">
        <v>8</v>
      </c>
      <c r="R113" s="43">
        <v>43552</v>
      </c>
      <c r="U113" s="42">
        <v>-1.5008698199999999</v>
      </c>
      <c r="W113" s="42">
        <f t="shared" si="3"/>
        <v>-1.5008698199999998E-2</v>
      </c>
    </row>
    <row r="114" spans="2:23" x14ac:dyDescent="0.2">
      <c r="B114" s="43">
        <v>43551</v>
      </c>
      <c r="E114" s="42"/>
      <c r="F114" s="42"/>
      <c r="G114" s="42"/>
      <c r="J114" s="43">
        <v>43539</v>
      </c>
      <c r="M114" s="42"/>
      <c r="N114" s="42"/>
      <c r="O114" s="42"/>
      <c r="Q114">
        <v>9</v>
      </c>
      <c r="R114" s="43">
        <v>43553</v>
      </c>
      <c r="U114" s="42">
        <v>-1.52715763</v>
      </c>
      <c r="W114" s="42">
        <f t="shared" si="3"/>
        <v>-1.5271576300000001E-2</v>
      </c>
    </row>
    <row r="115" spans="2:23" x14ac:dyDescent="0.2">
      <c r="B115" s="43">
        <v>43552</v>
      </c>
      <c r="E115" s="42"/>
      <c r="F115" s="42"/>
      <c r="G115" s="42"/>
      <c r="J115" s="43">
        <v>43540</v>
      </c>
      <c r="M115" s="42"/>
      <c r="N115" s="42"/>
      <c r="O115" s="42"/>
      <c r="Q115">
        <v>10</v>
      </c>
      <c r="R115" s="43">
        <v>43554</v>
      </c>
    </row>
    <row r="116" spans="2:23" x14ac:dyDescent="0.2">
      <c r="B116" s="43">
        <v>43553</v>
      </c>
      <c r="E116" s="42"/>
      <c r="F116" s="42"/>
      <c r="G116" s="42"/>
      <c r="J116" s="43">
        <v>43541</v>
      </c>
      <c r="M116" s="42"/>
      <c r="N116" s="42"/>
      <c r="O116" s="42"/>
      <c r="Q116">
        <v>11</v>
      </c>
      <c r="R116" s="43">
        <v>43555</v>
      </c>
    </row>
    <row r="117" spans="2:23" x14ac:dyDescent="0.2">
      <c r="B117" s="43">
        <v>43554</v>
      </c>
      <c r="E117" s="42"/>
      <c r="F117" s="42"/>
      <c r="G117" s="42"/>
      <c r="J117" s="43">
        <v>43542</v>
      </c>
      <c r="M117" s="42"/>
      <c r="N117" s="42"/>
      <c r="O117" s="42"/>
      <c r="Q117">
        <v>12</v>
      </c>
      <c r="R117" s="43">
        <v>43556</v>
      </c>
    </row>
    <row r="118" spans="2:23" x14ac:dyDescent="0.2">
      <c r="B118" s="43">
        <v>43555</v>
      </c>
      <c r="E118" s="42"/>
      <c r="F118" s="42"/>
      <c r="G118" s="42"/>
      <c r="J118" s="43">
        <v>43543</v>
      </c>
      <c r="M118" s="42"/>
      <c r="N118" s="42"/>
      <c r="O118" s="42"/>
      <c r="Q118">
        <v>13</v>
      </c>
      <c r="R118" s="43">
        <v>43557</v>
      </c>
    </row>
    <row r="119" spans="2:23" x14ac:dyDescent="0.2">
      <c r="B119" s="43">
        <v>43556</v>
      </c>
      <c r="E119" s="42"/>
      <c r="F119" s="42"/>
      <c r="G119" s="42"/>
      <c r="J119" s="43">
        <v>43544</v>
      </c>
      <c r="M119" s="42"/>
      <c r="N119" s="42"/>
      <c r="O119" s="42"/>
      <c r="Q119">
        <v>14</v>
      </c>
      <c r="R119" s="43">
        <v>43558</v>
      </c>
      <c r="U119" s="42">
        <v>-1.93556197</v>
      </c>
      <c r="W119" s="42">
        <f t="shared" ref="V119:W182" si="4">U119/100</f>
        <v>-1.93556197E-2</v>
      </c>
    </row>
    <row r="120" spans="2:23" x14ac:dyDescent="0.2">
      <c r="B120" s="43">
        <v>43557</v>
      </c>
      <c r="E120" s="42"/>
      <c r="F120" s="42"/>
      <c r="G120" s="42"/>
      <c r="J120" s="43">
        <v>43545</v>
      </c>
      <c r="M120" s="42"/>
      <c r="N120" s="42"/>
      <c r="O120" s="42"/>
      <c r="Q120">
        <v>15</v>
      </c>
      <c r="R120" s="43">
        <v>43559</v>
      </c>
      <c r="U120" s="42">
        <v>-1.9604358500000001</v>
      </c>
      <c r="W120" s="42">
        <f t="shared" si="4"/>
        <v>-1.9604358500000002E-2</v>
      </c>
    </row>
    <row r="121" spans="2:23" x14ac:dyDescent="0.2">
      <c r="B121" s="43">
        <v>43558</v>
      </c>
      <c r="E121" s="42"/>
      <c r="F121" s="42"/>
      <c r="G121" s="42"/>
      <c r="J121" s="43">
        <v>43546</v>
      </c>
      <c r="M121" s="42"/>
      <c r="N121" s="42"/>
      <c r="O121" s="42"/>
      <c r="Q121">
        <v>16</v>
      </c>
      <c r="R121" s="43">
        <v>43560</v>
      </c>
      <c r="U121" s="42">
        <v>-1.9</v>
      </c>
      <c r="W121" s="42">
        <f t="shared" si="4"/>
        <v>-1.9E-2</v>
      </c>
    </row>
    <row r="122" spans="2:23" x14ac:dyDescent="0.2">
      <c r="B122" s="43">
        <v>43559</v>
      </c>
      <c r="E122" s="42"/>
      <c r="F122" s="42"/>
      <c r="G122" s="42"/>
      <c r="J122" s="43">
        <v>43547</v>
      </c>
      <c r="M122" s="42"/>
      <c r="N122" s="42"/>
      <c r="O122" s="42"/>
      <c r="Q122">
        <v>17</v>
      </c>
      <c r="R122" s="43">
        <v>43561</v>
      </c>
      <c r="U122" s="42">
        <v>-1.9604358500000001</v>
      </c>
      <c r="W122" s="42">
        <f t="shared" si="4"/>
        <v>-1.9604358500000002E-2</v>
      </c>
    </row>
    <row r="123" spans="2:23" x14ac:dyDescent="0.2">
      <c r="B123" s="43">
        <v>43560</v>
      </c>
      <c r="E123" s="42"/>
      <c r="F123" s="42"/>
      <c r="G123" s="42"/>
      <c r="J123" s="43">
        <v>43548</v>
      </c>
      <c r="M123" s="42"/>
      <c r="N123" s="42"/>
      <c r="O123" s="42"/>
      <c r="Q123">
        <v>18</v>
      </c>
      <c r="R123" s="43">
        <v>43562</v>
      </c>
      <c r="U123" s="42">
        <v>-1.9271493200000001</v>
      </c>
      <c r="W123" s="42">
        <f t="shared" si="4"/>
        <v>-1.92714932E-2</v>
      </c>
    </row>
    <row r="124" spans="2:23" x14ac:dyDescent="0.2">
      <c r="B124" s="43">
        <v>43561</v>
      </c>
      <c r="E124" s="42"/>
      <c r="F124" s="42"/>
      <c r="G124" s="42"/>
      <c r="J124" s="43">
        <v>43549</v>
      </c>
      <c r="M124" s="42"/>
      <c r="N124" s="42"/>
      <c r="O124" s="42"/>
      <c r="Q124">
        <v>19</v>
      </c>
      <c r="R124" s="43">
        <v>43563</v>
      </c>
      <c r="U124" s="42">
        <v>-1.89620185</v>
      </c>
      <c r="W124" s="42">
        <f t="shared" si="4"/>
        <v>-1.89620185E-2</v>
      </c>
    </row>
    <row r="125" spans="2:23" x14ac:dyDescent="0.2">
      <c r="B125" s="43">
        <v>43562</v>
      </c>
      <c r="E125" s="42"/>
      <c r="F125" s="42"/>
      <c r="G125" s="42"/>
      <c r="J125" s="43">
        <v>43550</v>
      </c>
      <c r="M125" s="42"/>
      <c r="N125" s="42"/>
      <c r="O125" s="42"/>
      <c r="Q125">
        <v>20</v>
      </c>
      <c r="R125" s="43">
        <v>43564</v>
      </c>
      <c r="S125" s="44"/>
      <c r="U125" s="42">
        <v>-1.9007843099999999</v>
      </c>
      <c r="W125" s="42">
        <f t="shared" si="4"/>
        <v>-1.9007843099999998E-2</v>
      </c>
    </row>
    <row r="126" spans="2:23" x14ac:dyDescent="0.2">
      <c r="B126" s="43">
        <v>43563</v>
      </c>
      <c r="E126" s="42"/>
      <c r="F126" s="42"/>
      <c r="G126" s="42"/>
      <c r="I126">
        <v>1</v>
      </c>
      <c r="J126" s="43">
        <v>43551</v>
      </c>
      <c r="M126" s="42">
        <v>-2.3431088689999999</v>
      </c>
      <c r="N126" s="42"/>
      <c r="O126" s="42">
        <f>M126/100</f>
        <v>-2.3431088690000001E-2</v>
      </c>
      <c r="Q126">
        <v>21</v>
      </c>
      <c r="R126" s="43">
        <v>43565</v>
      </c>
      <c r="S126" s="44"/>
      <c r="U126" s="42">
        <v>-1.8997242599999999</v>
      </c>
      <c r="W126" s="42">
        <f t="shared" si="4"/>
        <v>-1.8997242599999999E-2</v>
      </c>
    </row>
    <row r="127" spans="2:23" x14ac:dyDescent="0.2">
      <c r="B127" s="43">
        <v>43564</v>
      </c>
      <c r="E127" s="42"/>
      <c r="F127" s="42"/>
      <c r="G127" s="42"/>
      <c r="I127">
        <v>2</v>
      </c>
      <c r="J127" s="43">
        <v>43552</v>
      </c>
      <c r="M127" s="42">
        <v>-2.2535082129999999</v>
      </c>
      <c r="N127" s="42"/>
      <c r="O127" s="42">
        <f t="shared" ref="O127:O190" si="5">M127/100</f>
        <v>-2.2535082129999998E-2</v>
      </c>
      <c r="Q127">
        <v>22</v>
      </c>
      <c r="R127" s="43">
        <v>43566</v>
      </c>
      <c r="S127" s="44">
        <v>0.5</v>
      </c>
      <c r="T127" s="45">
        <v>-210.1</v>
      </c>
      <c r="U127" s="42">
        <v>-2.0113066700000002</v>
      </c>
      <c r="V127" s="46">
        <f t="shared" si="4"/>
        <v>-2.101</v>
      </c>
      <c r="W127" s="42">
        <f t="shared" si="4"/>
        <v>-2.0113066700000001E-2</v>
      </c>
    </row>
    <row r="128" spans="2:23" x14ac:dyDescent="0.2">
      <c r="B128" s="43">
        <v>43565</v>
      </c>
      <c r="E128" s="42"/>
      <c r="F128" s="42"/>
      <c r="G128" s="42"/>
      <c r="I128">
        <v>3</v>
      </c>
      <c r="J128" s="43">
        <v>43553</v>
      </c>
      <c r="M128" s="42">
        <v>-2.3103991449999999</v>
      </c>
      <c r="N128" s="42"/>
      <c r="O128" s="42">
        <f t="shared" si="5"/>
        <v>-2.310399145E-2</v>
      </c>
      <c r="Q128">
        <v>23</v>
      </c>
      <c r="R128" s="43">
        <v>43567</v>
      </c>
      <c r="S128" s="44">
        <v>0.5</v>
      </c>
      <c r="T128" s="45">
        <v>-208.6</v>
      </c>
      <c r="U128" s="42">
        <v>-2.0458666700000001</v>
      </c>
      <c r="V128" s="46">
        <f t="shared" si="4"/>
        <v>-2.0859999999999999</v>
      </c>
      <c r="W128" s="42">
        <f t="shared" si="4"/>
        <v>-2.0458666700000003E-2</v>
      </c>
    </row>
    <row r="129" spans="1:23" x14ac:dyDescent="0.2">
      <c r="A129">
        <v>1</v>
      </c>
      <c r="B129" s="43">
        <v>43566</v>
      </c>
      <c r="C129" s="44"/>
      <c r="E129" s="42">
        <v>-1.865703190000005</v>
      </c>
      <c r="F129" s="42"/>
      <c r="G129" s="42">
        <f>E129/100</f>
        <v>-1.8657031900000051E-2</v>
      </c>
      <c r="I129">
        <v>4</v>
      </c>
      <c r="J129" s="43">
        <v>43554</v>
      </c>
      <c r="M129" s="42">
        <v>-2.3535070249999999</v>
      </c>
      <c r="N129" s="42"/>
      <c r="O129" s="42">
        <f t="shared" si="5"/>
        <v>-2.3535070249999998E-2</v>
      </c>
      <c r="Q129">
        <v>24</v>
      </c>
      <c r="R129" s="43">
        <v>43568</v>
      </c>
      <c r="S129" s="44">
        <v>0.5</v>
      </c>
      <c r="T129" s="45">
        <v>-202.3</v>
      </c>
      <c r="U129" s="42">
        <v>-2.0445866700000002</v>
      </c>
      <c r="V129" s="46">
        <f t="shared" si="4"/>
        <v>-2.0230000000000001</v>
      </c>
      <c r="W129" s="42">
        <f t="shared" si="4"/>
        <v>-2.0445866700000002E-2</v>
      </c>
    </row>
    <row r="130" spans="1:23" x14ac:dyDescent="0.2">
      <c r="A130">
        <v>2</v>
      </c>
      <c r="B130" s="43">
        <v>43567</v>
      </c>
      <c r="C130" s="44">
        <v>0.5</v>
      </c>
      <c r="E130" s="42">
        <v>-1.865703190000005</v>
      </c>
      <c r="F130" s="42"/>
      <c r="G130" s="42">
        <f t="shared" ref="G130:G193" si="6">E130/100</f>
        <v>-1.8657031900000051E-2</v>
      </c>
      <c r="I130">
        <v>5</v>
      </c>
      <c r="J130" s="43">
        <v>43555</v>
      </c>
      <c r="M130" s="42">
        <v>-2.229390532</v>
      </c>
      <c r="N130" s="42"/>
      <c r="O130" s="42">
        <f t="shared" si="5"/>
        <v>-2.2293905320000001E-2</v>
      </c>
      <c r="Q130">
        <v>25</v>
      </c>
      <c r="R130" s="43">
        <v>43569</v>
      </c>
      <c r="S130" s="44">
        <v>0.5</v>
      </c>
      <c r="T130" s="45">
        <v>-198.2</v>
      </c>
      <c r="U130" s="42">
        <v>-2.0992977800000001</v>
      </c>
      <c r="V130" s="46">
        <f t="shared" si="4"/>
        <v>-1.982</v>
      </c>
      <c r="W130" s="42">
        <f t="shared" si="4"/>
        <v>-2.09929778E-2</v>
      </c>
    </row>
    <row r="131" spans="1:23" x14ac:dyDescent="0.2">
      <c r="A131">
        <v>3</v>
      </c>
      <c r="B131" s="43">
        <v>43568</v>
      </c>
      <c r="C131" s="44">
        <v>0.5</v>
      </c>
      <c r="E131" s="42">
        <v>-1.8696393800000024</v>
      </c>
      <c r="F131" s="42"/>
      <c r="G131" s="42">
        <f t="shared" si="6"/>
        <v>-1.8696393800000023E-2</v>
      </c>
      <c r="I131">
        <v>6</v>
      </c>
      <c r="J131" s="43">
        <v>43556</v>
      </c>
      <c r="M131" s="42">
        <v>-2.2523713550000002</v>
      </c>
      <c r="N131" s="42"/>
      <c r="O131" s="42">
        <f t="shared" si="5"/>
        <v>-2.2523713550000001E-2</v>
      </c>
      <c r="Q131">
        <v>26</v>
      </c>
      <c r="R131" s="43">
        <v>43570</v>
      </c>
      <c r="S131" s="44">
        <v>0.5</v>
      </c>
      <c r="T131" s="45">
        <v>-195.3</v>
      </c>
      <c r="U131" s="42">
        <v>-2.0499999999999998</v>
      </c>
      <c r="V131" s="46">
        <f t="shared" si="4"/>
        <v>-1.9530000000000001</v>
      </c>
      <c r="W131" s="42">
        <f t="shared" si="4"/>
        <v>-2.0499999999999997E-2</v>
      </c>
    </row>
    <row r="132" spans="1:23" x14ac:dyDescent="0.2">
      <c r="A132">
        <v>4</v>
      </c>
      <c r="B132" s="43">
        <v>43569</v>
      </c>
      <c r="C132" s="44">
        <v>0.5</v>
      </c>
      <c r="E132" s="42">
        <v>-1.9654730900000033</v>
      </c>
      <c r="F132" s="42"/>
      <c r="G132" s="42">
        <f t="shared" si="6"/>
        <v>-1.9654730900000032E-2</v>
      </c>
      <c r="I132">
        <v>7</v>
      </c>
      <c r="J132" s="43">
        <v>43557</v>
      </c>
      <c r="M132" s="42">
        <v>-2.3104161520000002</v>
      </c>
      <c r="N132" s="42"/>
      <c r="O132" s="42">
        <f t="shared" si="5"/>
        <v>-2.3104161520000003E-2</v>
      </c>
      <c r="Q132">
        <v>27</v>
      </c>
      <c r="R132" s="43">
        <v>43571</v>
      </c>
      <c r="S132" s="44">
        <v>0.5</v>
      </c>
      <c r="T132" s="45">
        <v>-193</v>
      </c>
      <c r="U132" s="42">
        <v>-2.14389333</v>
      </c>
      <c r="V132" s="46">
        <f t="shared" si="4"/>
        <v>-1.93</v>
      </c>
      <c r="W132" s="42">
        <f t="shared" si="4"/>
        <v>-2.1438933300000001E-2</v>
      </c>
    </row>
    <row r="133" spans="1:23" x14ac:dyDescent="0.2">
      <c r="A133">
        <v>5</v>
      </c>
      <c r="B133" s="43">
        <v>43570</v>
      </c>
      <c r="C133" s="44">
        <v>0.5</v>
      </c>
      <c r="E133" s="42">
        <v>-2.0657031900000042</v>
      </c>
      <c r="F133" s="42"/>
      <c r="G133" s="42">
        <f t="shared" si="6"/>
        <v>-2.0657031900000043E-2</v>
      </c>
      <c r="I133">
        <v>8</v>
      </c>
      <c r="J133" s="43">
        <v>43558</v>
      </c>
      <c r="M133" s="42">
        <v>-1.7916117069999999</v>
      </c>
      <c r="N133" s="42"/>
      <c r="O133" s="42">
        <f t="shared" si="5"/>
        <v>-1.7916117070000001E-2</v>
      </c>
      <c r="Q133">
        <v>28</v>
      </c>
      <c r="R133" s="43">
        <v>43572</v>
      </c>
      <c r="S133" s="44">
        <v>0.5</v>
      </c>
      <c r="T133" s="45">
        <v>-191.1</v>
      </c>
      <c r="U133" s="42">
        <v>-2.2135466699999999</v>
      </c>
      <c r="V133" s="46">
        <f t="shared" si="4"/>
        <v>-1.911</v>
      </c>
      <c r="W133" s="42">
        <f t="shared" si="4"/>
        <v>-2.2135466699999998E-2</v>
      </c>
    </row>
    <row r="134" spans="1:23" x14ac:dyDescent="0.2">
      <c r="A134">
        <v>6</v>
      </c>
      <c r="B134" s="43">
        <v>43571</v>
      </c>
      <c r="C134" s="44">
        <v>0.5</v>
      </c>
      <c r="E134" s="42">
        <v>-2.1657031900000021</v>
      </c>
      <c r="F134" s="42"/>
      <c r="G134" s="42">
        <f t="shared" si="6"/>
        <v>-2.1657031900000023E-2</v>
      </c>
      <c r="I134">
        <v>9</v>
      </c>
      <c r="J134" s="43">
        <v>43559</v>
      </c>
      <c r="M134" s="42">
        <v>-1.803507025</v>
      </c>
      <c r="N134" s="42"/>
      <c r="O134" s="42">
        <f t="shared" si="5"/>
        <v>-1.803507025E-2</v>
      </c>
      <c r="Q134">
        <v>29</v>
      </c>
      <c r="R134" s="43">
        <v>43573</v>
      </c>
      <c r="S134" s="44">
        <v>0.5</v>
      </c>
      <c r="T134" s="45">
        <v>-190</v>
      </c>
      <c r="U134" s="42">
        <v>-2.3603910300000002</v>
      </c>
      <c r="V134" s="46">
        <f t="shared" si="4"/>
        <v>-1.9</v>
      </c>
      <c r="W134" s="42">
        <f t="shared" si="4"/>
        <v>-2.3603910300000003E-2</v>
      </c>
    </row>
    <row r="135" spans="1:23" x14ac:dyDescent="0.2">
      <c r="A135">
        <v>7</v>
      </c>
      <c r="B135" s="43">
        <v>43572</v>
      </c>
      <c r="C135" s="44">
        <v>0.5</v>
      </c>
      <c r="E135" s="42">
        <v>-2.2657031900000035</v>
      </c>
      <c r="F135" s="42"/>
      <c r="G135" s="42">
        <f t="shared" si="6"/>
        <v>-2.2657031900000034E-2</v>
      </c>
      <c r="I135">
        <v>10</v>
      </c>
      <c r="J135" s="43">
        <v>43560</v>
      </c>
      <c r="M135" s="42">
        <v>-1.8564288819999999</v>
      </c>
      <c r="N135" s="42"/>
      <c r="O135" s="42">
        <f t="shared" si="5"/>
        <v>-1.856428882E-2</v>
      </c>
      <c r="Q135">
        <v>30</v>
      </c>
      <c r="R135" s="43">
        <v>43574</v>
      </c>
      <c r="S135" s="44">
        <v>0.5</v>
      </c>
      <c r="T135" s="45">
        <v>-189</v>
      </c>
      <c r="U135" s="42">
        <v>-2.3829765699999998</v>
      </c>
      <c r="V135" s="46">
        <f t="shared" si="4"/>
        <v>-1.89</v>
      </c>
      <c r="W135" s="42">
        <f t="shared" si="4"/>
        <v>-2.3829765699999998E-2</v>
      </c>
    </row>
    <row r="136" spans="1:23" x14ac:dyDescent="0.2">
      <c r="A136">
        <v>8</v>
      </c>
      <c r="B136" s="43">
        <v>43573</v>
      </c>
      <c r="C136" s="44">
        <v>0.5</v>
      </c>
      <c r="E136" s="42">
        <v>-2.365703190000005</v>
      </c>
      <c r="F136" s="42"/>
      <c r="G136" s="42">
        <f t="shared" si="6"/>
        <v>-2.3657031900000049E-2</v>
      </c>
      <c r="I136">
        <v>11</v>
      </c>
      <c r="J136" s="43">
        <v>43561</v>
      </c>
      <c r="M136" s="42">
        <v>-1.7916666219999999</v>
      </c>
      <c r="N136" s="42"/>
      <c r="O136" s="42">
        <f t="shared" si="5"/>
        <v>-1.7916666219999999E-2</v>
      </c>
      <c r="Q136">
        <v>31</v>
      </c>
      <c r="R136" s="43">
        <v>43575</v>
      </c>
      <c r="S136" s="44">
        <v>0.5</v>
      </c>
      <c r="T136" s="45">
        <v>-188.39999999999998</v>
      </c>
      <c r="U136" s="42">
        <v>-2.3960228400000001</v>
      </c>
      <c r="V136" s="46">
        <f t="shared" si="4"/>
        <v>-1.8839999999999997</v>
      </c>
      <c r="W136" s="42">
        <f t="shared" si="4"/>
        <v>-2.3960228400000002E-2</v>
      </c>
    </row>
    <row r="137" spans="1:23" x14ac:dyDescent="0.2">
      <c r="A137">
        <v>9</v>
      </c>
      <c r="B137" s="43">
        <v>43574</v>
      </c>
      <c r="C137" s="44">
        <v>0.5</v>
      </c>
      <c r="E137" s="42">
        <v>-2.4157031900000021</v>
      </c>
      <c r="F137" s="42"/>
      <c r="G137" s="42">
        <f t="shared" si="6"/>
        <v>-2.4157031900000021E-2</v>
      </c>
      <c r="I137">
        <v>12</v>
      </c>
      <c r="J137" s="43">
        <v>43562</v>
      </c>
      <c r="M137" s="42">
        <v>-1.5971739030000001</v>
      </c>
      <c r="N137" s="42"/>
      <c r="O137" s="42">
        <f t="shared" si="5"/>
        <v>-1.5971739030000001E-2</v>
      </c>
      <c r="Q137">
        <v>32</v>
      </c>
      <c r="R137" s="43">
        <v>43576</v>
      </c>
      <c r="S137" s="44">
        <v>0.5</v>
      </c>
      <c r="T137" s="45">
        <v>-187.7</v>
      </c>
      <c r="U137" s="42">
        <v>-2.4467863400000001</v>
      </c>
      <c r="V137" s="46">
        <f t="shared" si="4"/>
        <v>-1.8769999999999998</v>
      </c>
      <c r="W137" s="42">
        <f t="shared" si="4"/>
        <v>-2.4467863400000001E-2</v>
      </c>
    </row>
    <row r="138" spans="1:23" x14ac:dyDescent="0.2">
      <c r="A138">
        <v>10</v>
      </c>
      <c r="B138" s="43">
        <v>43575</v>
      </c>
      <c r="C138" s="44">
        <v>0.5</v>
      </c>
      <c r="D138">
        <v>-82.683000000000007</v>
      </c>
      <c r="E138" s="42">
        <v>-2.5157031900000035</v>
      </c>
      <c r="F138" s="42">
        <f>D138/100</f>
        <v>-0.82683000000000006</v>
      </c>
      <c r="G138" s="42">
        <f t="shared" si="6"/>
        <v>-2.5157031900000036E-2</v>
      </c>
      <c r="I138">
        <v>13</v>
      </c>
      <c r="J138" s="43">
        <v>43563</v>
      </c>
      <c r="M138" s="42">
        <v>-1.6619265830000001</v>
      </c>
      <c r="N138" s="42"/>
      <c r="O138" s="42">
        <f t="shared" si="5"/>
        <v>-1.661926583E-2</v>
      </c>
      <c r="Q138">
        <v>33</v>
      </c>
      <c r="R138" s="43">
        <v>43577</v>
      </c>
      <c r="S138" s="44">
        <v>0.5</v>
      </c>
      <c r="T138" s="45">
        <v>-187.3</v>
      </c>
      <c r="U138" s="42">
        <v>-2.4141019199999998</v>
      </c>
      <c r="V138" s="46">
        <f t="shared" si="4"/>
        <v>-1.8730000000000002</v>
      </c>
      <c r="W138" s="42">
        <f t="shared" si="4"/>
        <v>-2.4141019199999999E-2</v>
      </c>
    </row>
    <row r="139" spans="1:23" x14ac:dyDescent="0.2">
      <c r="A139">
        <v>11</v>
      </c>
      <c r="B139" s="43">
        <v>43576</v>
      </c>
      <c r="C139" s="44">
        <v>0.5</v>
      </c>
      <c r="D139">
        <v>-83.441999999999993</v>
      </c>
      <c r="E139" s="42">
        <v>-2.1657031900000021</v>
      </c>
      <c r="F139" s="42">
        <f t="shared" ref="F139:G202" si="7">D139/100</f>
        <v>-0.83441999999999994</v>
      </c>
      <c r="G139" s="42">
        <f t="shared" si="6"/>
        <v>-2.1657031900000023E-2</v>
      </c>
      <c r="I139">
        <v>14</v>
      </c>
      <c r="J139" s="43">
        <v>43564</v>
      </c>
      <c r="M139" s="42">
        <v>-1.703507025</v>
      </c>
      <c r="N139" s="42"/>
      <c r="O139" s="42">
        <f t="shared" si="5"/>
        <v>-1.7035070249999999E-2</v>
      </c>
      <c r="Q139">
        <v>34</v>
      </c>
      <c r="R139" s="43">
        <v>43578</v>
      </c>
      <c r="S139" s="44">
        <v>0.5</v>
      </c>
      <c r="T139" s="45">
        <v>-187.1</v>
      </c>
      <c r="U139" s="42">
        <v>-2.2464520499999998</v>
      </c>
      <c r="V139" s="46">
        <f t="shared" si="4"/>
        <v>-1.871</v>
      </c>
      <c r="W139" s="42">
        <f t="shared" si="4"/>
        <v>-2.2464520499999998E-2</v>
      </c>
    </row>
    <row r="140" spans="1:23" x14ac:dyDescent="0.2">
      <c r="A140">
        <v>12</v>
      </c>
      <c r="B140" s="43">
        <v>43577</v>
      </c>
      <c r="C140" s="44">
        <v>0.5</v>
      </c>
      <c r="D140">
        <v>-83.558000000000007</v>
      </c>
      <c r="E140" s="42">
        <v>-2.1657031900000021</v>
      </c>
      <c r="F140" s="42">
        <f t="shared" si="7"/>
        <v>-0.8355800000000001</v>
      </c>
      <c r="G140" s="42">
        <f t="shared" si="6"/>
        <v>-2.1657031900000023E-2</v>
      </c>
      <c r="I140">
        <v>15</v>
      </c>
      <c r="J140" s="43">
        <v>43565</v>
      </c>
      <c r="M140" s="42">
        <v>-1.7264490770000001</v>
      </c>
      <c r="N140" s="42"/>
      <c r="O140" s="42">
        <f t="shared" si="5"/>
        <v>-1.7264490770000002E-2</v>
      </c>
      <c r="Q140">
        <v>35</v>
      </c>
      <c r="R140" s="43">
        <v>43579</v>
      </c>
      <c r="S140" s="44">
        <v>0.5</v>
      </c>
      <c r="T140" s="45">
        <v>-187.20000000000002</v>
      </c>
      <c r="U140" s="42">
        <v>-2.2842478399999999</v>
      </c>
      <c r="V140" s="46">
        <f t="shared" si="4"/>
        <v>-1.8720000000000001</v>
      </c>
      <c r="W140" s="42">
        <f t="shared" si="4"/>
        <v>-2.2842478399999998E-2</v>
      </c>
    </row>
    <row r="141" spans="1:23" x14ac:dyDescent="0.2">
      <c r="A141">
        <v>13</v>
      </c>
      <c r="B141" s="43">
        <v>43578</v>
      </c>
      <c r="C141" s="44">
        <v>0.5</v>
      </c>
      <c r="D141">
        <v>-83.674999999999997</v>
      </c>
      <c r="E141" s="42">
        <v>-2.2657031900000035</v>
      </c>
      <c r="F141" s="42">
        <f t="shared" si="7"/>
        <v>-0.83674999999999999</v>
      </c>
      <c r="G141" s="42">
        <f t="shared" si="6"/>
        <v>-2.2657031900000034E-2</v>
      </c>
      <c r="I141">
        <v>16</v>
      </c>
      <c r="J141" s="43">
        <v>43566</v>
      </c>
      <c r="K141" s="44">
        <v>0.5</v>
      </c>
      <c r="L141">
        <v>3.6080000000000001</v>
      </c>
      <c r="M141" s="42">
        <v>-2.13725554</v>
      </c>
      <c r="N141" s="42">
        <f>L141/100</f>
        <v>3.6080000000000001E-2</v>
      </c>
      <c r="O141" s="42">
        <f t="shared" si="5"/>
        <v>-2.13725554E-2</v>
      </c>
      <c r="Q141">
        <v>36</v>
      </c>
      <c r="R141" s="43">
        <v>43580</v>
      </c>
      <c r="S141" s="44">
        <v>0.5</v>
      </c>
      <c r="T141" s="45">
        <v>-187.3</v>
      </c>
      <c r="U141" s="42">
        <v>-2.4</v>
      </c>
      <c r="V141" s="46">
        <f t="shared" si="4"/>
        <v>-1.8730000000000002</v>
      </c>
      <c r="W141" s="42">
        <f t="shared" si="4"/>
        <v>-2.4E-2</v>
      </c>
    </row>
    <row r="142" spans="1:23" x14ac:dyDescent="0.2">
      <c r="A142">
        <v>14</v>
      </c>
      <c r="B142" s="43">
        <v>43579</v>
      </c>
      <c r="C142" s="44">
        <v>0.5</v>
      </c>
      <c r="D142">
        <v>-83.85</v>
      </c>
      <c r="E142" s="42">
        <v>-2.2657031900000035</v>
      </c>
      <c r="F142" s="42">
        <f t="shared" si="7"/>
        <v>-0.83849999999999991</v>
      </c>
      <c r="G142" s="42">
        <f t="shared" si="6"/>
        <v>-2.2657031900000034E-2</v>
      </c>
      <c r="I142">
        <v>17</v>
      </c>
      <c r="J142" s="43">
        <v>43567</v>
      </c>
      <c r="K142" s="44">
        <v>0.5</v>
      </c>
      <c r="L142">
        <v>3.0830000000000002</v>
      </c>
      <c r="M142" s="42">
        <v>-2.1535683290000001</v>
      </c>
      <c r="N142" s="42">
        <f t="shared" ref="N142:O205" si="8">L142/100</f>
        <v>3.0830000000000003E-2</v>
      </c>
      <c r="O142" s="42">
        <f t="shared" si="5"/>
        <v>-2.153568329E-2</v>
      </c>
      <c r="Q142">
        <v>37</v>
      </c>
      <c r="R142" s="43">
        <v>43581</v>
      </c>
      <c r="S142" s="44">
        <v>0.5</v>
      </c>
      <c r="T142" s="45">
        <v>-187.6</v>
      </c>
      <c r="U142" s="42">
        <v>-2.35893028</v>
      </c>
      <c r="V142" s="46">
        <f t="shared" si="4"/>
        <v>-1.8759999999999999</v>
      </c>
      <c r="W142" s="42">
        <f t="shared" si="4"/>
        <v>-2.35893028E-2</v>
      </c>
    </row>
    <row r="143" spans="1:23" x14ac:dyDescent="0.2">
      <c r="A143">
        <v>15</v>
      </c>
      <c r="B143" s="43">
        <v>43580</v>
      </c>
      <c r="C143" s="44">
        <v>0.5</v>
      </c>
      <c r="D143">
        <v>-85.075000000000003</v>
      </c>
      <c r="E143" s="42">
        <v>-2.3157031900000042</v>
      </c>
      <c r="F143" s="42">
        <f t="shared" si="7"/>
        <v>-0.85075000000000001</v>
      </c>
      <c r="G143" s="42">
        <f t="shared" si="6"/>
        <v>-2.3157031900000041E-2</v>
      </c>
      <c r="I143">
        <v>18</v>
      </c>
      <c r="J143" s="43">
        <v>43568</v>
      </c>
      <c r="K143" s="44">
        <v>0.5</v>
      </c>
      <c r="L143" s="47">
        <v>2.85</v>
      </c>
      <c r="M143" s="42">
        <v>-2.1701613879999999</v>
      </c>
      <c r="N143" s="42">
        <f t="shared" si="8"/>
        <v>2.8500000000000001E-2</v>
      </c>
      <c r="O143" s="42">
        <f t="shared" si="5"/>
        <v>-2.1701613879999998E-2</v>
      </c>
      <c r="Q143">
        <v>38</v>
      </c>
      <c r="R143" s="43">
        <v>43582</v>
      </c>
      <c r="S143" s="44">
        <v>0.5</v>
      </c>
      <c r="T143" s="45">
        <v>-187.79999999999998</v>
      </c>
      <c r="U143" s="42">
        <v>-2.3502781100000001</v>
      </c>
      <c r="V143" s="46">
        <f t="shared" si="4"/>
        <v>-1.8779999999999999</v>
      </c>
      <c r="W143" s="42">
        <f t="shared" si="4"/>
        <v>-2.3502781100000002E-2</v>
      </c>
    </row>
    <row r="144" spans="1:23" x14ac:dyDescent="0.2">
      <c r="A144">
        <v>16</v>
      </c>
      <c r="B144" s="43">
        <v>43581</v>
      </c>
      <c r="C144" s="44">
        <v>0.5</v>
      </c>
      <c r="D144">
        <v>-86.766999999999996</v>
      </c>
      <c r="E144" s="42">
        <v>-2.365703190000005</v>
      </c>
      <c r="F144" s="42">
        <f t="shared" si="7"/>
        <v>-0.86766999999999994</v>
      </c>
      <c r="G144" s="42">
        <f t="shared" si="6"/>
        <v>-2.3657031900000049E-2</v>
      </c>
      <c r="I144">
        <v>19</v>
      </c>
      <c r="J144" s="43">
        <v>43569</v>
      </c>
      <c r="K144" s="44">
        <v>0.5</v>
      </c>
      <c r="L144" s="47">
        <v>1.8</v>
      </c>
      <c r="M144" s="42">
        <v>-2.203507025</v>
      </c>
      <c r="N144" s="42">
        <f t="shared" si="8"/>
        <v>1.8000000000000002E-2</v>
      </c>
      <c r="O144" s="42">
        <f t="shared" si="5"/>
        <v>-2.203507025E-2</v>
      </c>
      <c r="Q144">
        <v>39</v>
      </c>
      <c r="R144" s="43">
        <v>43583</v>
      </c>
      <c r="S144" s="44">
        <v>0.5</v>
      </c>
      <c r="T144" s="45">
        <v>-188</v>
      </c>
      <c r="U144" s="42">
        <v>-2.3502781100000001</v>
      </c>
      <c r="V144" s="46">
        <f t="shared" si="4"/>
        <v>-1.88</v>
      </c>
      <c r="W144" s="42">
        <f t="shared" si="4"/>
        <v>-2.3502781100000002E-2</v>
      </c>
    </row>
    <row r="145" spans="1:23" x14ac:dyDescent="0.2">
      <c r="A145">
        <v>17</v>
      </c>
      <c r="B145" s="43">
        <v>43582</v>
      </c>
      <c r="C145" s="44">
        <v>0.5</v>
      </c>
      <c r="D145">
        <v>-83.558000000000007</v>
      </c>
      <c r="E145" s="42">
        <v>-2.2157031900000028</v>
      </c>
      <c r="F145" s="42">
        <f t="shared" si="7"/>
        <v>-0.8355800000000001</v>
      </c>
      <c r="G145" s="42">
        <f t="shared" si="6"/>
        <v>-2.2157031900000027E-2</v>
      </c>
      <c r="I145">
        <v>20</v>
      </c>
      <c r="J145" s="43">
        <v>43570</v>
      </c>
      <c r="K145" s="44">
        <v>0.5</v>
      </c>
      <c r="L145" s="47">
        <v>0.75</v>
      </c>
      <c r="M145" s="42">
        <v>-2.214302746</v>
      </c>
      <c r="N145" s="42">
        <f t="shared" si="8"/>
        <v>7.4999999999999997E-3</v>
      </c>
      <c r="O145" s="42">
        <f t="shared" si="5"/>
        <v>-2.2143027459999999E-2</v>
      </c>
      <c r="Q145">
        <v>40</v>
      </c>
      <c r="R145" s="43">
        <v>43584</v>
      </c>
      <c r="S145" s="44">
        <v>0.5</v>
      </c>
      <c r="T145" s="45">
        <v>-188.3</v>
      </c>
      <c r="U145" s="42">
        <v>-2.3502781100000001</v>
      </c>
      <c r="V145" s="46">
        <f t="shared" si="4"/>
        <v>-1.883</v>
      </c>
      <c r="W145" s="42">
        <f t="shared" si="4"/>
        <v>-2.3502781100000002E-2</v>
      </c>
    </row>
    <row r="146" spans="1:23" x14ac:dyDescent="0.2">
      <c r="A146">
        <v>18</v>
      </c>
      <c r="B146" s="43">
        <v>43583</v>
      </c>
      <c r="C146" s="44">
        <v>0.5</v>
      </c>
      <c r="D146">
        <v>-83.908000000000001</v>
      </c>
      <c r="E146" s="42">
        <v>-2.2657031900000035</v>
      </c>
      <c r="F146" s="42">
        <f t="shared" si="7"/>
        <v>-0.83908000000000005</v>
      </c>
      <c r="G146" s="42">
        <f t="shared" si="6"/>
        <v>-2.2657031900000034E-2</v>
      </c>
      <c r="I146">
        <v>21</v>
      </c>
      <c r="J146" s="43">
        <v>43571</v>
      </c>
      <c r="K146" s="44">
        <v>0.5</v>
      </c>
      <c r="L146" s="47">
        <v>-0.53300000000000003</v>
      </c>
      <c r="M146" s="42">
        <v>-2.2696437999999999</v>
      </c>
      <c r="N146" s="42">
        <f t="shared" si="8"/>
        <v>-5.3300000000000005E-3</v>
      </c>
      <c r="O146" s="42">
        <f t="shared" si="5"/>
        <v>-2.2696437999999999E-2</v>
      </c>
      <c r="Q146">
        <v>41</v>
      </c>
      <c r="R146" s="43">
        <v>43585</v>
      </c>
      <c r="S146" s="44">
        <v>0.5</v>
      </c>
      <c r="T146" s="45">
        <v>-169.79999999999998</v>
      </c>
      <c r="U146" s="42">
        <v>-2.21094444</v>
      </c>
      <c r="V146" s="46">
        <f t="shared" si="4"/>
        <v>-1.6979999999999997</v>
      </c>
      <c r="W146" s="42">
        <f t="shared" si="4"/>
        <v>-2.2109444400000001E-2</v>
      </c>
    </row>
    <row r="147" spans="1:23" x14ac:dyDescent="0.2">
      <c r="A147">
        <v>19</v>
      </c>
      <c r="B147" s="43">
        <v>43584</v>
      </c>
      <c r="C147" s="44">
        <v>0.5</v>
      </c>
      <c r="D147">
        <v>-84.55</v>
      </c>
      <c r="E147" s="42">
        <v>-2.365703190000005</v>
      </c>
      <c r="F147" s="42">
        <f t="shared" si="7"/>
        <v>-0.84549999999999992</v>
      </c>
      <c r="G147" s="42">
        <f t="shared" si="6"/>
        <v>-2.3657031900000049E-2</v>
      </c>
      <c r="I147">
        <v>22</v>
      </c>
      <c r="J147" s="43">
        <v>43572</v>
      </c>
      <c r="K147" s="44">
        <v>0.5</v>
      </c>
      <c r="L147" s="47">
        <v>-1.4670000000000001</v>
      </c>
      <c r="M147" s="42">
        <v>-2.319837379</v>
      </c>
      <c r="N147" s="42">
        <f t="shared" si="8"/>
        <v>-1.4670000000000001E-2</v>
      </c>
      <c r="O147" s="42">
        <f t="shared" si="5"/>
        <v>-2.3198373790000001E-2</v>
      </c>
      <c r="Q147">
        <v>42</v>
      </c>
      <c r="R147" s="43">
        <v>43586</v>
      </c>
      <c r="S147" s="44">
        <v>0.5</v>
      </c>
      <c r="T147" s="45">
        <v>-170.1</v>
      </c>
      <c r="U147" s="42">
        <v>-2.0023933899999999</v>
      </c>
      <c r="V147" s="46">
        <f t="shared" si="4"/>
        <v>-1.7009999999999998</v>
      </c>
      <c r="W147" s="42">
        <f t="shared" si="4"/>
        <v>-2.0023933899999999E-2</v>
      </c>
    </row>
    <row r="148" spans="1:23" x14ac:dyDescent="0.2">
      <c r="A148">
        <v>20</v>
      </c>
      <c r="B148" s="43">
        <v>43585</v>
      </c>
      <c r="C148" s="44">
        <v>0.5</v>
      </c>
      <c r="D148">
        <v>-86.125</v>
      </c>
      <c r="E148" s="42">
        <v>-2.4657031900000028</v>
      </c>
      <c r="F148" s="42">
        <f t="shared" si="7"/>
        <v>-0.86124999999999996</v>
      </c>
      <c r="G148" s="42">
        <f t="shared" si="6"/>
        <v>-2.4657031900000029E-2</v>
      </c>
      <c r="I148">
        <v>23</v>
      </c>
      <c r="J148" s="43">
        <v>43573</v>
      </c>
      <c r="K148" s="44">
        <v>0.5</v>
      </c>
      <c r="L148" s="47">
        <v>6.2329999999999997</v>
      </c>
      <c r="M148" s="42">
        <v>-2.3529842310000002</v>
      </c>
      <c r="N148" s="42">
        <f t="shared" si="8"/>
        <v>6.2329999999999997E-2</v>
      </c>
      <c r="O148" s="42">
        <f t="shared" si="5"/>
        <v>-2.3529842310000004E-2</v>
      </c>
      <c r="Q148">
        <v>43</v>
      </c>
      <c r="R148" s="43">
        <v>43587</v>
      </c>
      <c r="S148" s="44">
        <v>0.5</v>
      </c>
      <c r="T148" s="45">
        <v>-171.6</v>
      </c>
      <c r="U148" s="42">
        <v>-2.0023933899999999</v>
      </c>
      <c r="V148" s="46">
        <f t="shared" si="4"/>
        <v>-1.716</v>
      </c>
      <c r="W148" s="42">
        <f t="shared" si="4"/>
        <v>-2.0023933899999999E-2</v>
      </c>
    </row>
    <row r="149" spans="1:23" x14ac:dyDescent="0.2">
      <c r="A149">
        <v>21</v>
      </c>
      <c r="B149" s="43">
        <v>43586</v>
      </c>
      <c r="C149" s="44">
        <v>0.5</v>
      </c>
      <c r="D149">
        <v>-88.05</v>
      </c>
      <c r="E149" s="42">
        <v>-2.4657031900000028</v>
      </c>
      <c r="F149" s="42">
        <f t="shared" si="7"/>
        <v>-0.88049999999999995</v>
      </c>
      <c r="G149" s="42">
        <f t="shared" si="6"/>
        <v>-2.4657031900000029E-2</v>
      </c>
      <c r="I149">
        <v>24</v>
      </c>
      <c r="J149" s="43">
        <v>43574</v>
      </c>
      <c r="K149" s="44">
        <v>0.5</v>
      </c>
      <c r="L149" s="47">
        <v>3.1419999999999999</v>
      </c>
      <c r="M149" s="42">
        <v>-2.153410359</v>
      </c>
      <c r="N149" s="42">
        <f t="shared" si="8"/>
        <v>3.1419999999999997E-2</v>
      </c>
      <c r="O149" s="42">
        <f t="shared" si="5"/>
        <v>-2.1534103589999999E-2</v>
      </c>
      <c r="Q149">
        <v>44</v>
      </c>
      <c r="R149" s="43">
        <v>43588</v>
      </c>
      <c r="S149" s="44">
        <v>0.5</v>
      </c>
      <c r="T149" s="45">
        <v>-174.70000000000002</v>
      </c>
      <c r="U149" s="42">
        <v>-2.0379010100000001</v>
      </c>
      <c r="V149" s="46">
        <f t="shared" si="4"/>
        <v>-1.7470000000000001</v>
      </c>
      <c r="W149" s="42">
        <f t="shared" si="4"/>
        <v>-2.0379010100000001E-2</v>
      </c>
    </row>
    <row r="150" spans="1:23" x14ac:dyDescent="0.2">
      <c r="A150">
        <v>22</v>
      </c>
      <c r="B150" s="43">
        <v>43587</v>
      </c>
      <c r="C150" s="44">
        <v>0.5</v>
      </c>
      <c r="D150">
        <v>-90.15</v>
      </c>
      <c r="E150" s="42">
        <v>-2.5657031900000042</v>
      </c>
      <c r="F150" s="42">
        <f t="shared" si="7"/>
        <v>-0.90150000000000008</v>
      </c>
      <c r="G150" s="42">
        <f t="shared" si="6"/>
        <v>-2.5657031900000044E-2</v>
      </c>
      <c r="I150">
        <v>25</v>
      </c>
      <c r="J150" s="43">
        <v>43575</v>
      </c>
      <c r="K150" s="44">
        <v>0.5</v>
      </c>
      <c r="L150" s="47">
        <v>13.525</v>
      </c>
      <c r="M150" s="42">
        <v>-2.2073176280000002</v>
      </c>
      <c r="N150" s="42">
        <f t="shared" si="8"/>
        <v>0.13525000000000001</v>
      </c>
      <c r="O150" s="42">
        <f t="shared" si="5"/>
        <v>-2.2073176280000002E-2</v>
      </c>
      <c r="Q150">
        <v>45</v>
      </c>
      <c r="R150" s="43">
        <v>43589</v>
      </c>
      <c r="S150" s="44">
        <v>0.5</v>
      </c>
      <c r="T150" s="45">
        <v>-149.10000000000002</v>
      </c>
      <c r="U150" s="42">
        <v>-1.7553882599999999</v>
      </c>
      <c r="V150" s="46">
        <f t="shared" si="4"/>
        <v>-1.4910000000000003</v>
      </c>
      <c r="W150" s="42">
        <f t="shared" si="4"/>
        <v>-1.7553882600000001E-2</v>
      </c>
    </row>
    <row r="151" spans="1:23" x14ac:dyDescent="0.2">
      <c r="A151">
        <v>23</v>
      </c>
      <c r="B151" s="43">
        <v>43588</v>
      </c>
      <c r="C151" s="44">
        <v>0.5</v>
      </c>
      <c r="D151">
        <v>-92.424999999999997</v>
      </c>
      <c r="E151" s="42">
        <v>-2.6657031900000021</v>
      </c>
      <c r="F151" s="42">
        <f t="shared" si="7"/>
        <v>-0.92425000000000002</v>
      </c>
      <c r="G151" s="42">
        <f t="shared" si="6"/>
        <v>-2.665703190000002E-2</v>
      </c>
      <c r="I151">
        <v>26</v>
      </c>
      <c r="J151" s="43">
        <v>43576</v>
      </c>
      <c r="K151" s="44">
        <v>0.5</v>
      </c>
      <c r="L151" s="47">
        <v>10.667</v>
      </c>
      <c r="M151" s="42">
        <v>-1.77103812</v>
      </c>
      <c r="N151" s="42">
        <f t="shared" si="8"/>
        <v>0.10667</v>
      </c>
      <c r="O151" s="42">
        <f t="shared" si="5"/>
        <v>-1.77103812E-2</v>
      </c>
      <c r="Q151">
        <v>46</v>
      </c>
      <c r="R151" s="43">
        <v>43590</v>
      </c>
      <c r="S151" s="44">
        <v>0.5</v>
      </c>
      <c r="T151" s="45">
        <v>-152</v>
      </c>
      <c r="U151" s="42">
        <v>-1.68552166</v>
      </c>
      <c r="V151" s="46">
        <f t="shared" si="4"/>
        <v>-1.52</v>
      </c>
      <c r="W151" s="42">
        <f t="shared" si="4"/>
        <v>-1.68552166E-2</v>
      </c>
    </row>
    <row r="152" spans="1:23" x14ac:dyDescent="0.2">
      <c r="A152">
        <v>24</v>
      </c>
      <c r="B152" s="43">
        <v>43589</v>
      </c>
      <c r="C152" s="44">
        <v>0.5</v>
      </c>
      <c r="D152">
        <v>-95.4</v>
      </c>
      <c r="E152" s="42">
        <v>-2.8157031900000042</v>
      </c>
      <c r="F152" s="42">
        <f t="shared" si="7"/>
        <v>-0.95400000000000007</v>
      </c>
      <c r="G152" s="42">
        <f t="shared" si="6"/>
        <v>-2.8157031900000042E-2</v>
      </c>
      <c r="I152">
        <v>27</v>
      </c>
      <c r="J152" s="43">
        <v>43577</v>
      </c>
      <c r="K152" s="44">
        <v>0.5</v>
      </c>
      <c r="L152" s="47">
        <v>9.5579999999999998</v>
      </c>
      <c r="M152" s="42">
        <v>-1.770869437</v>
      </c>
      <c r="N152" s="42">
        <f t="shared" si="8"/>
        <v>9.5579999999999998E-2</v>
      </c>
      <c r="O152" s="42">
        <f t="shared" si="5"/>
        <v>-1.770869437E-2</v>
      </c>
      <c r="Q152">
        <v>47</v>
      </c>
      <c r="R152" s="43">
        <v>43591</v>
      </c>
      <c r="S152" s="44">
        <v>0.5</v>
      </c>
      <c r="T152" s="45">
        <v>-145.6</v>
      </c>
      <c r="U152" s="42">
        <v>-1.6</v>
      </c>
      <c r="V152" s="46">
        <f t="shared" si="4"/>
        <v>-1.456</v>
      </c>
      <c r="W152" s="42">
        <f t="shared" si="4"/>
        <v>-1.6E-2</v>
      </c>
    </row>
    <row r="153" spans="1:23" x14ac:dyDescent="0.2">
      <c r="A153">
        <v>25</v>
      </c>
      <c r="B153" s="43">
        <v>43590</v>
      </c>
      <c r="C153" s="44">
        <v>0.5</v>
      </c>
      <c r="D153">
        <v>-97.792000000000002</v>
      </c>
      <c r="E153" s="42">
        <v>-2.9657031900000028</v>
      </c>
      <c r="F153" s="42">
        <f t="shared" si="7"/>
        <v>-0.97792000000000001</v>
      </c>
      <c r="G153" s="42">
        <f t="shared" si="6"/>
        <v>-2.965703190000003E-2</v>
      </c>
      <c r="I153">
        <v>28</v>
      </c>
      <c r="J153" s="43">
        <v>43578</v>
      </c>
      <c r="K153" s="44">
        <v>0.5</v>
      </c>
      <c r="L153" s="47">
        <v>8.3330000000000002</v>
      </c>
      <c r="M153" s="42">
        <v>-1.8374958619999999</v>
      </c>
      <c r="N153" s="42">
        <f t="shared" si="8"/>
        <v>8.3330000000000001E-2</v>
      </c>
      <c r="O153" s="42">
        <f t="shared" si="5"/>
        <v>-1.837495862E-2</v>
      </c>
      <c r="Q153">
        <v>48</v>
      </c>
      <c r="R153" s="43">
        <v>43592</v>
      </c>
      <c r="S153" s="44">
        <v>0.5</v>
      </c>
      <c r="T153" s="45">
        <v>-142.1</v>
      </c>
      <c r="U153" s="42">
        <v>-1.55</v>
      </c>
      <c r="V153" s="46">
        <f t="shared" si="4"/>
        <v>-1.421</v>
      </c>
      <c r="W153" s="42">
        <f t="shared" si="4"/>
        <v>-1.55E-2</v>
      </c>
    </row>
    <row r="154" spans="1:23" x14ac:dyDescent="0.2">
      <c r="A154">
        <v>26</v>
      </c>
      <c r="B154" s="43">
        <v>43591</v>
      </c>
      <c r="C154" s="44">
        <v>0.5</v>
      </c>
      <c r="D154">
        <v>-100.592</v>
      </c>
      <c r="E154" s="42">
        <v>-3.0157031900000035</v>
      </c>
      <c r="F154" s="42">
        <f t="shared" si="7"/>
        <v>-1.0059199999999999</v>
      </c>
      <c r="G154" s="42">
        <f t="shared" si="6"/>
        <v>-3.0157031900000034E-2</v>
      </c>
      <c r="I154">
        <v>29</v>
      </c>
      <c r="J154" s="43">
        <v>43579</v>
      </c>
      <c r="K154" s="44">
        <v>0.5</v>
      </c>
      <c r="L154" s="47">
        <v>8.0419999999999998</v>
      </c>
      <c r="M154" s="42">
        <v>-1.854175052</v>
      </c>
      <c r="N154" s="42">
        <f t="shared" si="8"/>
        <v>8.0419999999999991E-2</v>
      </c>
      <c r="O154" s="42">
        <f t="shared" si="5"/>
        <v>-1.8541750520000001E-2</v>
      </c>
      <c r="Q154">
        <v>49</v>
      </c>
      <c r="R154" s="43">
        <v>43593</v>
      </c>
      <c r="S154" s="44">
        <v>0.5</v>
      </c>
      <c r="T154" s="45">
        <v>-133.4</v>
      </c>
      <c r="U154" s="42">
        <v>-1.4423619299999999</v>
      </c>
      <c r="V154" s="46">
        <f t="shared" si="4"/>
        <v>-1.3340000000000001</v>
      </c>
      <c r="W154" s="42">
        <f t="shared" si="4"/>
        <v>-1.4423619299999999E-2</v>
      </c>
    </row>
    <row r="155" spans="1:23" x14ac:dyDescent="0.2">
      <c r="A155">
        <v>27</v>
      </c>
      <c r="B155" s="43">
        <v>43592</v>
      </c>
      <c r="C155" s="44">
        <v>0.5</v>
      </c>
      <c r="D155">
        <v>-102.4</v>
      </c>
      <c r="E155" s="42">
        <v>-3.1657031900000021</v>
      </c>
      <c r="F155" s="42">
        <f t="shared" si="7"/>
        <v>-1.024</v>
      </c>
      <c r="G155" s="42">
        <f t="shared" si="6"/>
        <v>-3.1657031900000021E-2</v>
      </c>
      <c r="I155">
        <v>30</v>
      </c>
      <c r="J155" s="43">
        <v>43580</v>
      </c>
      <c r="K155" s="44">
        <v>0.5</v>
      </c>
      <c r="L155" s="47">
        <v>11.132999999999999</v>
      </c>
      <c r="M155" s="42">
        <v>-1.887234343</v>
      </c>
      <c r="N155" s="42">
        <f t="shared" si="8"/>
        <v>0.11132999999999998</v>
      </c>
      <c r="O155" s="42">
        <f t="shared" si="5"/>
        <v>-1.8872343430000001E-2</v>
      </c>
      <c r="Q155">
        <v>50</v>
      </c>
      <c r="R155" s="43">
        <v>43594</v>
      </c>
      <c r="S155" s="44">
        <v>0.5</v>
      </c>
      <c r="T155" s="45">
        <v>-136.4</v>
      </c>
      <c r="U155" s="42">
        <v>-1.2889263399999999</v>
      </c>
      <c r="V155" s="46">
        <f t="shared" si="4"/>
        <v>-1.3640000000000001</v>
      </c>
      <c r="W155" s="42">
        <f t="shared" si="4"/>
        <v>-1.28892634E-2</v>
      </c>
    </row>
    <row r="156" spans="1:23" x14ac:dyDescent="0.2">
      <c r="A156">
        <v>28</v>
      </c>
      <c r="B156" s="43">
        <v>43593</v>
      </c>
      <c r="C156" s="44">
        <v>0.5</v>
      </c>
      <c r="D156">
        <v>-104.792</v>
      </c>
      <c r="E156" s="42">
        <v>-3.2657031900000035</v>
      </c>
      <c r="F156" s="42">
        <f t="shared" si="7"/>
        <v>-1.04792</v>
      </c>
      <c r="G156" s="42">
        <f t="shared" si="6"/>
        <v>-3.2657031900000036E-2</v>
      </c>
      <c r="I156">
        <v>31</v>
      </c>
      <c r="J156" s="43">
        <v>43581</v>
      </c>
      <c r="K156" s="44">
        <v>0.5</v>
      </c>
      <c r="L156" s="47">
        <v>9.6170000000000009</v>
      </c>
      <c r="M156" s="42">
        <v>-1.8042499809999999</v>
      </c>
      <c r="N156" s="42">
        <f t="shared" si="8"/>
        <v>9.6170000000000005E-2</v>
      </c>
      <c r="O156" s="42">
        <f t="shared" si="5"/>
        <v>-1.8042499809999998E-2</v>
      </c>
      <c r="Q156">
        <v>51</v>
      </c>
      <c r="R156" s="43">
        <v>43595</v>
      </c>
      <c r="S156" s="44">
        <v>0.5</v>
      </c>
      <c r="T156" s="45">
        <v>-138.39999999999998</v>
      </c>
      <c r="U156" s="42">
        <v>-1.4</v>
      </c>
      <c r="V156" s="46">
        <f t="shared" si="4"/>
        <v>-1.3839999999999997</v>
      </c>
      <c r="W156" s="42">
        <f t="shared" si="4"/>
        <v>-1.3999999999999999E-2</v>
      </c>
    </row>
    <row r="157" spans="1:23" x14ac:dyDescent="0.2">
      <c r="A157">
        <v>29</v>
      </c>
      <c r="B157" s="43">
        <v>43594</v>
      </c>
      <c r="C157" s="44">
        <v>0.5</v>
      </c>
      <c r="D157">
        <v>-106.833</v>
      </c>
      <c r="E157" s="42">
        <v>-3.365703190000005</v>
      </c>
      <c r="F157" s="42">
        <f t="shared" si="7"/>
        <v>-1.06833</v>
      </c>
      <c r="G157" s="42">
        <f t="shared" si="6"/>
        <v>-3.3657031900000051E-2</v>
      </c>
      <c r="I157">
        <v>32</v>
      </c>
      <c r="J157" s="43">
        <v>43582</v>
      </c>
      <c r="K157" s="44">
        <v>0.5</v>
      </c>
      <c r="L157" s="47">
        <v>9.5579999999999998</v>
      </c>
      <c r="M157" s="42">
        <v>-1.8211501640000001</v>
      </c>
      <c r="N157" s="42">
        <f t="shared" si="8"/>
        <v>9.5579999999999998E-2</v>
      </c>
      <c r="O157" s="42">
        <f t="shared" si="5"/>
        <v>-1.8211501640000002E-2</v>
      </c>
      <c r="Q157">
        <v>52</v>
      </c>
      <c r="R157" s="43">
        <v>43596</v>
      </c>
      <c r="S157" s="44">
        <v>0.5</v>
      </c>
      <c r="T157" s="45">
        <v>-140.19999999999999</v>
      </c>
      <c r="U157" s="42">
        <v>-1.45</v>
      </c>
      <c r="V157" s="46">
        <f t="shared" si="4"/>
        <v>-1.4019999999999999</v>
      </c>
      <c r="W157" s="42">
        <f t="shared" si="4"/>
        <v>-1.4499999999999999E-2</v>
      </c>
    </row>
    <row r="158" spans="1:23" x14ac:dyDescent="0.2">
      <c r="A158">
        <v>30</v>
      </c>
      <c r="B158" s="43">
        <v>43595</v>
      </c>
      <c r="C158" s="44">
        <v>0.5</v>
      </c>
      <c r="D158">
        <v>-108.758</v>
      </c>
      <c r="E158" s="42">
        <v>-3.4657031900000028</v>
      </c>
      <c r="F158" s="42">
        <f t="shared" si="7"/>
        <v>-1.08758</v>
      </c>
      <c r="G158" s="42">
        <f t="shared" si="6"/>
        <v>-3.4657031900000031E-2</v>
      </c>
      <c r="I158">
        <v>33</v>
      </c>
      <c r="J158" s="43">
        <v>43583</v>
      </c>
      <c r="K158" s="44">
        <v>0.5</v>
      </c>
      <c r="L158" s="47">
        <v>7.867</v>
      </c>
      <c r="M158" s="42">
        <v>-1.8374580279999999</v>
      </c>
      <c r="N158" s="42">
        <f t="shared" si="8"/>
        <v>7.8670000000000004E-2</v>
      </c>
      <c r="O158" s="42">
        <f t="shared" si="5"/>
        <v>-1.837458028E-2</v>
      </c>
      <c r="Q158">
        <v>53</v>
      </c>
      <c r="R158" s="43">
        <v>43597</v>
      </c>
      <c r="S158" s="44">
        <v>0.5</v>
      </c>
      <c r="T158" s="45">
        <v>-135.4</v>
      </c>
      <c r="U158" s="42">
        <v>-2.3367941999999999</v>
      </c>
      <c r="V158" s="46">
        <f t="shared" si="4"/>
        <v>-1.3540000000000001</v>
      </c>
      <c r="W158" s="42">
        <f t="shared" si="4"/>
        <v>-2.3367941999999999E-2</v>
      </c>
    </row>
    <row r="159" spans="1:23" x14ac:dyDescent="0.2">
      <c r="A159">
        <v>31</v>
      </c>
      <c r="B159" s="43">
        <v>43596</v>
      </c>
      <c r="C159" s="44">
        <v>0.5</v>
      </c>
      <c r="D159">
        <v>-110.508</v>
      </c>
      <c r="E159" s="42">
        <v>-3.5657031900000042</v>
      </c>
      <c r="F159" s="42">
        <f t="shared" si="7"/>
        <v>-1.1050800000000001</v>
      </c>
      <c r="G159" s="42">
        <f t="shared" si="6"/>
        <v>-3.5657031900000045E-2</v>
      </c>
      <c r="I159">
        <v>34</v>
      </c>
      <c r="J159" s="43">
        <v>43584</v>
      </c>
      <c r="K159" s="44">
        <v>0.5</v>
      </c>
      <c r="L159" s="47">
        <v>9.2669999999999995</v>
      </c>
      <c r="M159" s="42">
        <v>-1.9035802319999999</v>
      </c>
      <c r="N159" s="42">
        <f t="shared" si="8"/>
        <v>9.2669999999999988E-2</v>
      </c>
      <c r="O159" s="42">
        <f t="shared" si="5"/>
        <v>-1.903580232E-2</v>
      </c>
      <c r="Q159">
        <v>54</v>
      </c>
      <c r="R159" s="43">
        <v>43598</v>
      </c>
      <c r="S159" s="44">
        <v>0.5</v>
      </c>
      <c r="T159" s="45">
        <v>-135.9</v>
      </c>
      <c r="U159" s="42">
        <v>-1.35</v>
      </c>
      <c r="V159" s="46">
        <f t="shared" si="4"/>
        <v>-1.359</v>
      </c>
      <c r="W159" s="42">
        <f t="shared" si="4"/>
        <v>-1.3500000000000002E-2</v>
      </c>
    </row>
    <row r="160" spans="1:23" x14ac:dyDescent="0.2">
      <c r="A160">
        <v>32</v>
      </c>
      <c r="B160" s="43">
        <v>43597</v>
      </c>
      <c r="C160" s="44">
        <v>0.5</v>
      </c>
      <c r="D160">
        <v>-112.375</v>
      </c>
      <c r="E160" s="42">
        <v>-3.6657031900000021</v>
      </c>
      <c r="F160" s="42">
        <f t="shared" si="7"/>
        <v>-1.12375</v>
      </c>
      <c r="G160" s="42">
        <f t="shared" si="6"/>
        <v>-3.6657031900000019E-2</v>
      </c>
      <c r="I160">
        <v>35</v>
      </c>
      <c r="J160" s="43">
        <v>43585</v>
      </c>
      <c r="K160" s="44">
        <v>0.5</v>
      </c>
      <c r="L160" s="47">
        <v>9.6170000000000009</v>
      </c>
      <c r="M160" s="42">
        <v>-1.889786433</v>
      </c>
      <c r="N160" s="42">
        <f t="shared" si="8"/>
        <v>9.6170000000000005E-2</v>
      </c>
      <c r="O160" s="42">
        <f t="shared" si="5"/>
        <v>-1.889786433E-2</v>
      </c>
      <c r="Q160">
        <v>55</v>
      </c>
      <c r="R160" s="43">
        <v>43599</v>
      </c>
      <c r="S160" s="44">
        <v>0.5</v>
      </c>
      <c r="T160" s="45">
        <v>-137.79999999999998</v>
      </c>
      <c r="U160" s="42">
        <v>-1.35</v>
      </c>
      <c r="V160" s="46">
        <f t="shared" si="4"/>
        <v>-1.3779999999999999</v>
      </c>
      <c r="W160" s="42">
        <f t="shared" si="4"/>
        <v>-1.3500000000000002E-2</v>
      </c>
    </row>
    <row r="161" spans="1:23" x14ac:dyDescent="0.2">
      <c r="A161">
        <v>33</v>
      </c>
      <c r="B161" s="43">
        <v>43598</v>
      </c>
      <c r="C161" s="44">
        <v>0.5</v>
      </c>
      <c r="D161">
        <v>-113.95</v>
      </c>
      <c r="E161" s="42">
        <v>-3.7657031900000035</v>
      </c>
      <c r="F161" s="42">
        <f t="shared" si="7"/>
        <v>-1.1395</v>
      </c>
      <c r="G161" s="42">
        <f t="shared" si="6"/>
        <v>-3.7657031900000033E-2</v>
      </c>
      <c r="I161">
        <v>36</v>
      </c>
      <c r="J161" s="43">
        <v>43586</v>
      </c>
      <c r="K161" s="44">
        <v>0.5</v>
      </c>
      <c r="L161" s="47">
        <v>8.1579999999999995</v>
      </c>
      <c r="M161" s="42">
        <v>-1.8369545110000001</v>
      </c>
      <c r="N161" s="42">
        <f t="shared" si="8"/>
        <v>8.158E-2</v>
      </c>
      <c r="O161" s="42">
        <f t="shared" si="5"/>
        <v>-1.836954511E-2</v>
      </c>
      <c r="Q161">
        <v>56</v>
      </c>
      <c r="R161" s="43">
        <v>43600</v>
      </c>
      <c r="S161" s="44">
        <v>0.5</v>
      </c>
      <c r="T161" s="45">
        <v>-140.1</v>
      </c>
      <c r="U161" s="42">
        <v>-1.3976485400000001</v>
      </c>
      <c r="V161" s="46">
        <f t="shared" si="4"/>
        <v>-1.401</v>
      </c>
      <c r="W161" s="42">
        <f t="shared" si="4"/>
        <v>-1.39764854E-2</v>
      </c>
    </row>
    <row r="162" spans="1:23" x14ac:dyDescent="0.2">
      <c r="A162">
        <v>34</v>
      </c>
      <c r="B162" s="43">
        <v>43599</v>
      </c>
      <c r="C162" s="44">
        <v>0.5</v>
      </c>
      <c r="D162">
        <v>-115.758</v>
      </c>
      <c r="E162" s="42">
        <v>-3.9157031900000021</v>
      </c>
      <c r="F162" s="42">
        <f t="shared" si="7"/>
        <v>-1.1575800000000001</v>
      </c>
      <c r="G162" s="42">
        <f t="shared" si="6"/>
        <v>-3.9157031900000021E-2</v>
      </c>
      <c r="I162">
        <v>37</v>
      </c>
      <c r="J162" s="43">
        <v>43587</v>
      </c>
      <c r="K162" s="44">
        <v>0.5</v>
      </c>
      <c r="L162" s="47">
        <v>6.875</v>
      </c>
      <c r="M162" s="42">
        <v>-1.9040657969999999</v>
      </c>
      <c r="N162" s="42">
        <f t="shared" si="8"/>
        <v>6.8750000000000006E-2</v>
      </c>
      <c r="O162" s="42">
        <f t="shared" si="5"/>
        <v>-1.9040657969999999E-2</v>
      </c>
      <c r="Q162">
        <v>57</v>
      </c>
      <c r="R162" s="43">
        <v>43601</v>
      </c>
      <c r="S162" s="44">
        <v>0.5</v>
      </c>
      <c r="T162" s="45">
        <v>-136</v>
      </c>
      <c r="U162" s="42">
        <v>-1.37862288</v>
      </c>
      <c r="V162" s="46">
        <f t="shared" si="4"/>
        <v>-1.36</v>
      </c>
      <c r="W162" s="42">
        <f t="shared" si="4"/>
        <v>-1.37862288E-2</v>
      </c>
    </row>
    <row r="163" spans="1:23" x14ac:dyDescent="0.2">
      <c r="A163">
        <v>35</v>
      </c>
      <c r="B163" s="43">
        <v>43600</v>
      </c>
      <c r="C163" s="44">
        <v>0.5</v>
      </c>
      <c r="D163">
        <v>-117.042</v>
      </c>
      <c r="E163" s="42">
        <v>-4.0157031900000035</v>
      </c>
      <c r="F163" s="42">
        <f t="shared" si="7"/>
        <v>-1.17042</v>
      </c>
      <c r="G163" s="42">
        <f t="shared" si="6"/>
        <v>-4.0157031900000036E-2</v>
      </c>
      <c r="I163">
        <v>38</v>
      </c>
      <c r="J163" s="43">
        <v>43588</v>
      </c>
      <c r="K163" s="44">
        <v>0.5</v>
      </c>
      <c r="L163" s="47">
        <v>9.9079999999999995</v>
      </c>
      <c r="M163" s="42">
        <v>-1.9032072120000001</v>
      </c>
      <c r="N163" s="42">
        <f t="shared" si="8"/>
        <v>9.9080000000000001E-2</v>
      </c>
      <c r="O163" s="42">
        <f t="shared" si="5"/>
        <v>-1.903207212E-2</v>
      </c>
      <c r="Q163">
        <v>58</v>
      </c>
      <c r="R163" s="43">
        <v>43602</v>
      </c>
      <c r="S163" s="44">
        <v>0.5</v>
      </c>
      <c r="T163" s="45">
        <v>-138.19999999999999</v>
      </c>
      <c r="U163" s="42">
        <v>-1.3082312300000001</v>
      </c>
      <c r="V163" s="46">
        <f t="shared" si="4"/>
        <v>-1.3819999999999999</v>
      </c>
      <c r="W163" s="42">
        <f t="shared" si="4"/>
        <v>-1.3082312300000001E-2</v>
      </c>
    </row>
    <row r="164" spans="1:23" x14ac:dyDescent="0.2">
      <c r="A164">
        <v>36</v>
      </c>
      <c r="B164" s="43">
        <v>43601</v>
      </c>
      <c r="C164" s="44">
        <v>0.5</v>
      </c>
      <c r="D164">
        <v>-93.007999999999996</v>
      </c>
      <c r="E164" s="42">
        <v>-3.615703190000005</v>
      </c>
      <c r="F164" s="42">
        <f t="shared" si="7"/>
        <v>-0.93007999999999991</v>
      </c>
      <c r="G164" s="42">
        <f t="shared" si="6"/>
        <v>-3.6157031900000053E-2</v>
      </c>
      <c r="I164">
        <v>39</v>
      </c>
      <c r="J164" s="43">
        <v>43589</v>
      </c>
      <c r="K164" s="44">
        <v>0.5</v>
      </c>
      <c r="L164" s="47">
        <v>7.633</v>
      </c>
      <c r="M164" s="42">
        <v>-1.836716593</v>
      </c>
      <c r="N164" s="42">
        <f t="shared" si="8"/>
        <v>7.6329999999999995E-2</v>
      </c>
      <c r="O164" s="42">
        <f t="shared" si="5"/>
        <v>-1.8367165929999998E-2</v>
      </c>
      <c r="Q164">
        <v>59</v>
      </c>
      <c r="R164" s="43">
        <v>43603</v>
      </c>
      <c r="S164" s="44">
        <v>0.5</v>
      </c>
      <c r="T164" s="45">
        <v>-140.30000000000001</v>
      </c>
      <c r="U164" s="42">
        <v>-1.3422068599999999</v>
      </c>
      <c r="V164" s="46">
        <f t="shared" si="4"/>
        <v>-1.403</v>
      </c>
      <c r="W164" s="42">
        <f t="shared" si="4"/>
        <v>-1.3422068599999998E-2</v>
      </c>
    </row>
    <row r="165" spans="1:23" x14ac:dyDescent="0.2">
      <c r="A165">
        <v>37</v>
      </c>
      <c r="B165" s="43">
        <v>43602</v>
      </c>
      <c r="C165" s="44">
        <v>0.5</v>
      </c>
      <c r="D165">
        <v>-93.65</v>
      </c>
      <c r="E165" s="42">
        <v>-3.615703190000005</v>
      </c>
      <c r="F165" s="42">
        <f t="shared" si="7"/>
        <v>-0.93650000000000011</v>
      </c>
      <c r="G165" s="42">
        <f t="shared" si="6"/>
        <v>-3.6157031900000053E-2</v>
      </c>
      <c r="I165">
        <v>40</v>
      </c>
      <c r="J165" s="43">
        <v>43590</v>
      </c>
      <c r="K165" s="44">
        <v>0.5</v>
      </c>
      <c r="L165" s="47">
        <v>5.7670000000000003</v>
      </c>
      <c r="M165" s="42">
        <v>-1.9203564470000001</v>
      </c>
      <c r="N165" s="42">
        <f t="shared" si="8"/>
        <v>5.7670000000000006E-2</v>
      </c>
      <c r="O165" s="42">
        <f t="shared" si="5"/>
        <v>-1.920356447E-2</v>
      </c>
      <c r="Q165">
        <v>60</v>
      </c>
      <c r="R165" s="43">
        <v>43604</v>
      </c>
      <c r="S165" s="44">
        <v>0.5</v>
      </c>
      <c r="T165" s="45">
        <v>-140.1</v>
      </c>
      <c r="U165" s="42">
        <v>-1.48233938</v>
      </c>
      <c r="V165" s="46">
        <f t="shared" si="4"/>
        <v>-1.401</v>
      </c>
      <c r="W165" s="42">
        <f t="shared" si="4"/>
        <v>-1.4823393799999999E-2</v>
      </c>
    </row>
    <row r="166" spans="1:23" x14ac:dyDescent="0.2">
      <c r="A166">
        <v>38</v>
      </c>
      <c r="B166" s="43">
        <v>43603</v>
      </c>
      <c r="C166" s="44">
        <v>0.5</v>
      </c>
      <c r="D166">
        <v>-94.35</v>
      </c>
      <c r="E166" s="42">
        <v>-3.7157031900000028</v>
      </c>
      <c r="F166" s="42">
        <f t="shared" si="7"/>
        <v>-0.94349999999999989</v>
      </c>
      <c r="G166" s="42">
        <f t="shared" si="6"/>
        <v>-3.7157031900000026E-2</v>
      </c>
      <c r="I166">
        <v>41</v>
      </c>
      <c r="J166" s="43">
        <v>43591</v>
      </c>
      <c r="K166" s="44">
        <v>0.5</v>
      </c>
      <c r="L166" s="47">
        <v>4.6580000000000004</v>
      </c>
      <c r="M166" s="42">
        <v>-1.9700622409999999</v>
      </c>
      <c r="N166" s="42">
        <f t="shared" si="8"/>
        <v>4.6580000000000003E-2</v>
      </c>
      <c r="O166" s="42">
        <f t="shared" si="5"/>
        <v>-1.970062241E-2</v>
      </c>
      <c r="Q166">
        <v>61</v>
      </c>
      <c r="R166" s="43">
        <v>43605</v>
      </c>
      <c r="S166" s="44">
        <v>0.5</v>
      </c>
      <c r="T166" s="45">
        <v>-142.19999999999999</v>
      </c>
      <c r="U166" s="42">
        <v>-1.23831749</v>
      </c>
      <c r="V166" s="46">
        <f t="shared" si="4"/>
        <v>-1.4219999999999999</v>
      </c>
      <c r="W166" s="42">
        <f t="shared" si="4"/>
        <v>-1.23831749E-2</v>
      </c>
    </row>
    <row r="167" spans="1:23" x14ac:dyDescent="0.2">
      <c r="A167">
        <v>39</v>
      </c>
      <c r="B167" s="43">
        <v>43604</v>
      </c>
      <c r="C167" s="44">
        <v>0.5</v>
      </c>
      <c r="D167">
        <v>-91.375</v>
      </c>
      <c r="E167" s="42">
        <v>-3.7157031900000028</v>
      </c>
      <c r="F167" s="42">
        <f t="shared" si="7"/>
        <v>-0.91374999999999995</v>
      </c>
      <c r="G167" s="42">
        <f t="shared" si="6"/>
        <v>-3.7157031900000026E-2</v>
      </c>
      <c r="I167">
        <v>42</v>
      </c>
      <c r="J167" s="43">
        <v>43592</v>
      </c>
      <c r="K167" s="44">
        <v>0.5</v>
      </c>
      <c r="L167" s="47">
        <v>10.199999999999999</v>
      </c>
      <c r="M167" s="42">
        <v>-2.0193281550000002</v>
      </c>
      <c r="N167" s="42">
        <f t="shared" si="8"/>
        <v>0.10199999999999999</v>
      </c>
      <c r="O167" s="42">
        <f t="shared" si="5"/>
        <v>-2.0193281550000001E-2</v>
      </c>
      <c r="Q167">
        <v>62</v>
      </c>
      <c r="R167" s="43">
        <v>43606</v>
      </c>
      <c r="S167" s="44">
        <v>0.5</v>
      </c>
      <c r="T167" s="45">
        <v>-143.4</v>
      </c>
      <c r="U167" s="42">
        <v>-1.23750257</v>
      </c>
      <c r="V167" s="46">
        <f t="shared" si="4"/>
        <v>-1.4340000000000002</v>
      </c>
      <c r="W167" s="42">
        <f t="shared" si="4"/>
        <v>-1.23750257E-2</v>
      </c>
    </row>
    <row r="168" spans="1:23" x14ac:dyDescent="0.2">
      <c r="A168">
        <v>40</v>
      </c>
      <c r="B168" s="43">
        <v>43605</v>
      </c>
      <c r="C168" s="44">
        <v>0.5</v>
      </c>
      <c r="D168">
        <v>-91.433000000000007</v>
      </c>
      <c r="E168" s="42">
        <v>-3.6657031900000021</v>
      </c>
      <c r="F168" s="42">
        <f t="shared" si="7"/>
        <v>-0.91433000000000009</v>
      </c>
      <c r="G168" s="42">
        <f t="shared" si="6"/>
        <v>-3.6657031900000019E-2</v>
      </c>
      <c r="I168">
        <v>43</v>
      </c>
      <c r="J168" s="43">
        <v>43593</v>
      </c>
      <c r="K168" s="44">
        <v>0.5</v>
      </c>
      <c r="L168" s="47">
        <v>9.15</v>
      </c>
      <c r="M168" s="42">
        <v>-1.8369847989999999</v>
      </c>
      <c r="N168" s="42">
        <f t="shared" si="8"/>
        <v>9.1499999999999998E-2</v>
      </c>
      <c r="O168" s="42">
        <f t="shared" si="5"/>
        <v>-1.836984799E-2</v>
      </c>
      <c r="Q168">
        <v>63</v>
      </c>
      <c r="R168" s="43">
        <v>43607</v>
      </c>
      <c r="S168" s="44">
        <v>0.5</v>
      </c>
      <c r="T168" s="45">
        <v>-131.9</v>
      </c>
      <c r="U168" s="42">
        <v>-1.2903486</v>
      </c>
      <c r="V168" s="46">
        <f t="shared" si="4"/>
        <v>-1.319</v>
      </c>
      <c r="W168" s="42">
        <f t="shared" si="4"/>
        <v>-1.2903485999999999E-2</v>
      </c>
    </row>
    <row r="169" spans="1:23" x14ac:dyDescent="0.2">
      <c r="A169">
        <v>41</v>
      </c>
      <c r="B169" s="43">
        <v>43606</v>
      </c>
      <c r="C169" s="44">
        <v>0.5</v>
      </c>
      <c r="D169">
        <v>-92.424999999999997</v>
      </c>
      <c r="E169" s="42">
        <v>-3.6657031900000021</v>
      </c>
      <c r="F169" s="42">
        <f t="shared" si="7"/>
        <v>-0.92425000000000002</v>
      </c>
      <c r="G169" s="42">
        <f t="shared" si="6"/>
        <v>-3.6657031900000019E-2</v>
      </c>
      <c r="I169">
        <v>44</v>
      </c>
      <c r="J169" s="43">
        <v>43594</v>
      </c>
      <c r="K169" s="44">
        <v>0.5</v>
      </c>
      <c r="L169" s="47">
        <v>7.4580000000000002</v>
      </c>
      <c r="M169" s="42">
        <v>-1.886694616</v>
      </c>
      <c r="N169" s="42">
        <f t="shared" si="8"/>
        <v>7.4580000000000007E-2</v>
      </c>
      <c r="O169" s="42">
        <f t="shared" si="5"/>
        <v>-1.8866946159999998E-2</v>
      </c>
      <c r="Q169">
        <v>64</v>
      </c>
      <c r="R169" s="43">
        <v>43608</v>
      </c>
      <c r="S169" s="44">
        <v>0.5</v>
      </c>
      <c r="T169" s="45">
        <v>-131.69999999999999</v>
      </c>
      <c r="U169" s="42">
        <v>-1.1000000000000001</v>
      </c>
      <c r="V169" s="46">
        <f t="shared" si="4"/>
        <v>-1.3169999999999999</v>
      </c>
      <c r="W169" s="42">
        <f t="shared" si="4"/>
        <v>-1.1000000000000001E-2</v>
      </c>
    </row>
    <row r="170" spans="1:23" x14ac:dyDescent="0.2">
      <c r="A170">
        <v>42</v>
      </c>
      <c r="B170" s="43">
        <v>43607</v>
      </c>
      <c r="C170" s="44">
        <v>0.5</v>
      </c>
      <c r="D170">
        <v>-93.066999999999993</v>
      </c>
      <c r="E170" s="42">
        <v>-3.7657031900000035</v>
      </c>
      <c r="F170" s="42">
        <f t="shared" si="7"/>
        <v>-0.93066999999999989</v>
      </c>
      <c r="G170" s="42">
        <f t="shared" si="6"/>
        <v>-3.7657031900000033E-2</v>
      </c>
      <c r="I170">
        <v>45</v>
      </c>
      <c r="J170" s="43">
        <v>43595</v>
      </c>
      <c r="K170" s="44">
        <v>0.5</v>
      </c>
      <c r="L170" s="47">
        <v>5.4749999999999996</v>
      </c>
      <c r="M170" s="42">
        <v>-1.936301343</v>
      </c>
      <c r="N170" s="42">
        <f t="shared" si="8"/>
        <v>5.4749999999999993E-2</v>
      </c>
      <c r="O170" s="42">
        <f t="shared" si="5"/>
        <v>-1.9363013429999999E-2</v>
      </c>
      <c r="Q170">
        <v>65</v>
      </c>
      <c r="R170" s="43">
        <v>43609</v>
      </c>
      <c r="S170" s="44">
        <v>0.5</v>
      </c>
      <c r="T170" s="45">
        <v>-134.30000000000001</v>
      </c>
      <c r="U170" s="42">
        <v>-1.0605589200000001</v>
      </c>
      <c r="V170" s="46">
        <f t="shared" si="4"/>
        <v>-1.3430000000000002</v>
      </c>
      <c r="W170" s="42">
        <f t="shared" si="4"/>
        <v>-1.0605589200000001E-2</v>
      </c>
    </row>
    <row r="171" spans="1:23" x14ac:dyDescent="0.2">
      <c r="A171">
        <v>43</v>
      </c>
      <c r="B171" s="43">
        <v>43608</v>
      </c>
      <c r="C171" s="44">
        <v>0.5</v>
      </c>
      <c r="D171">
        <v>-94.466999999999999</v>
      </c>
      <c r="E171" s="42">
        <v>-3.7657031900000035</v>
      </c>
      <c r="F171" s="42">
        <f t="shared" si="7"/>
        <v>-0.94467000000000001</v>
      </c>
      <c r="G171" s="42">
        <f t="shared" si="6"/>
        <v>-3.7657031900000033E-2</v>
      </c>
      <c r="I171">
        <v>46</v>
      </c>
      <c r="J171" s="43">
        <v>43596</v>
      </c>
      <c r="K171" s="44">
        <v>0.5</v>
      </c>
      <c r="L171" s="47">
        <v>4.5999999999999996</v>
      </c>
      <c r="M171" s="42">
        <v>-2.0032216639999998</v>
      </c>
      <c r="N171" s="42">
        <f t="shared" si="8"/>
        <v>4.5999999999999999E-2</v>
      </c>
      <c r="O171" s="42">
        <f t="shared" si="5"/>
        <v>-2.0032216639999999E-2</v>
      </c>
      <c r="Q171">
        <v>66</v>
      </c>
      <c r="R171" s="43">
        <v>43610</v>
      </c>
      <c r="S171" s="44">
        <v>0.5</v>
      </c>
      <c r="T171" s="45">
        <v>-136.20000000000002</v>
      </c>
      <c r="U171" s="42">
        <v>-1.09559205</v>
      </c>
      <c r="V171" s="46">
        <f t="shared" si="4"/>
        <v>-1.3620000000000001</v>
      </c>
      <c r="W171" s="42">
        <f t="shared" si="4"/>
        <v>-1.0955920500000001E-2</v>
      </c>
    </row>
    <row r="172" spans="1:23" x14ac:dyDescent="0.2">
      <c r="A172">
        <v>44</v>
      </c>
      <c r="B172" s="43">
        <v>43609</v>
      </c>
      <c r="C172" s="44">
        <v>0.5</v>
      </c>
      <c r="D172">
        <v>-95.808000000000007</v>
      </c>
      <c r="E172" s="42">
        <v>-3.865703190000005</v>
      </c>
      <c r="F172" s="42">
        <f t="shared" si="7"/>
        <v>-0.95808000000000004</v>
      </c>
      <c r="G172" s="42">
        <f t="shared" si="6"/>
        <v>-3.8657031900000048E-2</v>
      </c>
      <c r="I172">
        <v>47</v>
      </c>
      <c r="J172" s="43">
        <v>43597</v>
      </c>
      <c r="K172" s="44">
        <v>0.5</v>
      </c>
      <c r="L172" s="47">
        <v>3.7829999999999999</v>
      </c>
      <c r="M172" s="42">
        <v>-2.0527679029999999</v>
      </c>
      <c r="N172" s="42">
        <f t="shared" si="8"/>
        <v>3.7830000000000003E-2</v>
      </c>
      <c r="O172" s="42">
        <f t="shared" si="5"/>
        <v>-2.0527679029999999E-2</v>
      </c>
      <c r="Q172">
        <v>67</v>
      </c>
      <c r="R172" s="43">
        <v>43611</v>
      </c>
      <c r="S172" s="44">
        <v>0.5</v>
      </c>
      <c r="T172" s="45">
        <v>-138.1</v>
      </c>
      <c r="U172" s="42">
        <v>-1.1499999999999999</v>
      </c>
      <c r="V172" s="46">
        <f t="shared" si="4"/>
        <v>-1.381</v>
      </c>
      <c r="W172" s="42">
        <f t="shared" si="4"/>
        <v>-1.15E-2</v>
      </c>
    </row>
    <row r="173" spans="1:23" x14ac:dyDescent="0.2">
      <c r="A173">
        <v>45</v>
      </c>
      <c r="B173" s="43">
        <v>43610</v>
      </c>
      <c r="C173" s="44">
        <v>0.5</v>
      </c>
      <c r="D173">
        <v>-97.558000000000007</v>
      </c>
      <c r="E173" s="42">
        <v>-3.9657031900000028</v>
      </c>
      <c r="F173" s="42">
        <f t="shared" si="7"/>
        <v>-0.97558000000000011</v>
      </c>
      <c r="G173" s="42">
        <f t="shared" si="6"/>
        <v>-3.9657031900000028E-2</v>
      </c>
      <c r="I173">
        <v>48</v>
      </c>
      <c r="J173" s="43">
        <v>43598</v>
      </c>
      <c r="K173" s="44">
        <v>0.5</v>
      </c>
      <c r="L173" s="47">
        <v>2.383</v>
      </c>
      <c r="M173" s="42">
        <v>-2.0864760019999999</v>
      </c>
      <c r="N173" s="42">
        <f t="shared" si="8"/>
        <v>2.383E-2</v>
      </c>
      <c r="O173" s="42">
        <f t="shared" si="5"/>
        <v>-2.0864760019999998E-2</v>
      </c>
      <c r="Q173">
        <v>68</v>
      </c>
      <c r="R173" s="43">
        <v>43612</v>
      </c>
      <c r="S173" s="44">
        <v>0.5</v>
      </c>
      <c r="T173" s="45">
        <v>-139.6</v>
      </c>
      <c r="U173" s="42">
        <v>-1.13211178</v>
      </c>
      <c r="V173" s="46">
        <f t="shared" si="4"/>
        <v>-1.3959999999999999</v>
      </c>
      <c r="W173" s="42">
        <f t="shared" si="4"/>
        <v>-1.1321117800000001E-2</v>
      </c>
    </row>
    <row r="174" spans="1:23" x14ac:dyDescent="0.2">
      <c r="A174">
        <v>46</v>
      </c>
      <c r="B174" s="43">
        <v>43611</v>
      </c>
      <c r="C174" s="44">
        <v>0.5</v>
      </c>
      <c r="D174">
        <v>-98.841999999999999</v>
      </c>
      <c r="E174" s="42">
        <v>-4.0657031900000042</v>
      </c>
      <c r="F174" s="42">
        <f t="shared" si="7"/>
        <v>-0.98841999999999997</v>
      </c>
      <c r="G174" s="42">
        <f t="shared" si="6"/>
        <v>-4.0657031900000043E-2</v>
      </c>
      <c r="I174">
        <v>49</v>
      </c>
      <c r="J174" s="43">
        <v>43599</v>
      </c>
      <c r="K174" s="44">
        <v>0.5</v>
      </c>
      <c r="L174" s="47">
        <v>0.86699999999999999</v>
      </c>
      <c r="M174" s="42">
        <v>-2.1356327789999998</v>
      </c>
      <c r="N174" s="42">
        <f t="shared" si="8"/>
        <v>8.6700000000000006E-3</v>
      </c>
      <c r="O174" s="42">
        <f t="shared" si="5"/>
        <v>-2.1356327789999997E-2</v>
      </c>
      <c r="Q174">
        <v>69</v>
      </c>
      <c r="R174" s="43">
        <v>43613</v>
      </c>
      <c r="S174" s="44">
        <v>0.5</v>
      </c>
      <c r="T174" s="45">
        <v>-141.1</v>
      </c>
      <c r="U174" s="42">
        <v>-1.16750216</v>
      </c>
      <c r="V174" s="46">
        <f t="shared" si="4"/>
        <v>-1.411</v>
      </c>
      <c r="W174" s="42">
        <f t="shared" si="4"/>
        <v>-1.16750216E-2</v>
      </c>
    </row>
    <row r="175" spans="1:23" x14ac:dyDescent="0.2">
      <c r="A175">
        <v>47</v>
      </c>
      <c r="B175" s="43">
        <v>43612</v>
      </c>
      <c r="C175" s="44">
        <v>0.5</v>
      </c>
      <c r="D175">
        <v>-101.05800000000001</v>
      </c>
      <c r="E175" s="42">
        <v>-3.9657031900000028</v>
      </c>
      <c r="F175" s="42">
        <f t="shared" si="7"/>
        <v>-1.01058</v>
      </c>
      <c r="G175" s="42">
        <f t="shared" si="6"/>
        <v>-3.9657031900000028E-2</v>
      </c>
      <c r="I175">
        <v>50</v>
      </c>
      <c r="J175" s="43">
        <v>43600</v>
      </c>
      <c r="K175" s="44">
        <v>0.5</v>
      </c>
      <c r="L175" s="47">
        <v>0.16700000000000001</v>
      </c>
      <c r="M175" s="42">
        <v>-2.2028009439999998</v>
      </c>
      <c r="N175" s="42">
        <f t="shared" si="8"/>
        <v>1.67E-3</v>
      </c>
      <c r="O175" s="42">
        <f t="shared" si="5"/>
        <v>-2.2028009439999999E-2</v>
      </c>
      <c r="Q175">
        <v>70</v>
      </c>
      <c r="R175" s="43">
        <v>43614</v>
      </c>
      <c r="S175" s="44">
        <v>0.5</v>
      </c>
      <c r="T175" s="45">
        <v>-142.4</v>
      </c>
      <c r="U175" s="42">
        <v>-1.1850292</v>
      </c>
      <c r="V175" s="46">
        <f t="shared" si="4"/>
        <v>-1.4240000000000002</v>
      </c>
      <c r="W175" s="42">
        <f t="shared" si="4"/>
        <v>-1.1850292E-2</v>
      </c>
    </row>
    <row r="176" spans="1:23" x14ac:dyDescent="0.2">
      <c r="A176">
        <v>48</v>
      </c>
      <c r="B176" s="43">
        <v>43613</v>
      </c>
      <c r="C176" s="44">
        <v>0.5</v>
      </c>
      <c r="D176">
        <v>-86.65</v>
      </c>
      <c r="E176" s="42">
        <v>-4.0657031900000042</v>
      </c>
      <c r="F176" s="42">
        <f t="shared" si="7"/>
        <v>-0.86650000000000005</v>
      </c>
      <c r="G176" s="42">
        <f t="shared" si="6"/>
        <v>-4.0657031900000043E-2</v>
      </c>
      <c r="I176">
        <v>51</v>
      </c>
      <c r="J176" s="43">
        <v>43601</v>
      </c>
      <c r="K176" s="44">
        <v>0.5</v>
      </c>
      <c r="L176" s="47">
        <v>10.433</v>
      </c>
      <c r="M176" s="42">
        <v>-1.7866084950000001</v>
      </c>
      <c r="N176" s="42">
        <f t="shared" si="8"/>
        <v>0.10432999999999999</v>
      </c>
      <c r="O176" s="42">
        <f t="shared" si="5"/>
        <v>-1.786608495E-2</v>
      </c>
      <c r="Q176">
        <v>71</v>
      </c>
      <c r="R176" s="43">
        <v>43615</v>
      </c>
      <c r="S176" s="44">
        <v>0.5</v>
      </c>
      <c r="T176" s="45">
        <v>-143.79999999999998</v>
      </c>
      <c r="U176" s="42">
        <v>-1.2022870800000001</v>
      </c>
      <c r="V176" s="46">
        <f t="shared" si="4"/>
        <v>-1.4379999999999997</v>
      </c>
      <c r="W176" s="42">
        <f t="shared" si="4"/>
        <v>-1.20228708E-2</v>
      </c>
    </row>
    <row r="177" spans="1:23" x14ac:dyDescent="0.2">
      <c r="A177">
        <v>49</v>
      </c>
      <c r="B177" s="43">
        <v>43614</v>
      </c>
      <c r="C177" s="44">
        <v>0.5</v>
      </c>
      <c r="D177">
        <v>-80.466999999999999</v>
      </c>
      <c r="E177" s="42">
        <v>-3.7157031900000028</v>
      </c>
      <c r="F177" s="42">
        <f t="shared" si="7"/>
        <v>-0.80467</v>
      </c>
      <c r="G177" s="42">
        <f t="shared" si="6"/>
        <v>-3.7157031900000026E-2</v>
      </c>
      <c r="I177">
        <v>52</v>
      </c>
      <c r="J177" s="43">
        <v>43602</v>
      </c>
      <c r="K177" s="44">
        <v>0.5</v>
      </c>
      <c r="L177" s="47">
        <v>10.083</v>
      </c>
      <c r="M177" s="42">
        <v>-1.819934258</v>
      </c>
      <c r="N177" s="42">
        <f t="shared" si="8"/>
        <v>0.10083</v>
      </c>
      <c r="O177" s="42">
        <f t="shared" si="5"/>
        <v>-1.819934258E-2</v>
      </c>
      <c r="Q177">
        <v>72</v>
      </c>
      <c r="R177" s="43">
        <v>43616</v>
      </c>
      <c r="S177" s="44">
        <v>0.5</v>
      </c>
      <c r="T177" s="45">
        <v>-144.30000000000001</v>
      </c>
      <c r="U177" s="42">
        <v>-1.23724575</v>
      </c>
      <c r="V177" s="46">
        <f t="shared" si="4"/>
        <v>-1.4430000000000001</v>
      </c>
      <c r="W177" s="42">
        <f t="shared" si="4"/>
        <v>-1.23724575E-2</v>
      </c>
    </row>
    <row r="178" spans="1:23" x14ac:dyDescent="0.2">
      <c r="A178">
        <v>50</v>
      </c>
      <c r="B178" s="43">
        <v>43615</v>
      </c>
      <c r="C178" s="44">
        <v>0.5</v>
      </c>
      <c r="D178">
        <v>-78.716999999999999</v>
      </c>
      <c r="E178" s="42">
        <v>-3.5657031900000042</v>
      </c>
      <c r="F178" s="42">
        <f t="shared" si="7"/>
        <v>-0.78717000000000004</v>
      </c>
      <c r="G178" s="42">
        <f t="shared" si="6"/>
        <v>-3.5657031900000045E-2</v>
      </c>
      <c r="I178">
        <v>53</v>
      </c>
      <c r="J178" s="43">
        <v>43603</v>
      </c>
      <c r="K178" s="44">
        <v>0.5</v>
      </c>
      <c r="L178" s="47">
        <v>9.0920000000000005</v>
      </c>
      <c r="M178" s="42">
        <v>-1.6035070250000001</v>
      </c>
      <c r="N178" s="42">
        <f t="shared" si="8"/>
        <v>9.0920000000000001E-2</v>
      </c>
      <c r="O178" s="42">
        <f t="shared" si="5"/>
        <v>-1.6035070250000002E-2</v>
      </c>
      <c r="Q178">
        <v>73</v>
      </c>
      <c r="R178" s="43">
        <v>43617</v>
      </c>
      <c r="S178" s="44">
        <v>0.5</v>
      </c>
      <c r="T178" s="45">
        <v>-137.79999999999998</v>
      </c>
      <c r="U178" s="42">
        <v>-1.1323970000000001</v>
      </c>
      <c r="V178" s="46">
        <f t="shared" si="4"/>
        <v>-1.3779999999999999</v>
      </c>
      <c r="W178" s="42">
        <f t="shared" si="4"/>
        <v>-1.1323970000000001E-2</v>
      </c>
    </row>
    <row r="179" spans="1:23" x14ac:dyDescent="0.2">
      <c r="A179">
        <v>51</v>
      </c>
      <c r="B179" s="43">
        <v>43616</v>
      </c>
      <c r="C179" s="44">
        <v>0.5</v>
      </c>
      <c r="D179">
        <v>-78.308000000000007</v>
      </c>
      <c r="E179" s="42">
        <v>-3.615703190000005</v>
      </c>
      <c r="F179" s="42">
        <f t="shared" si="7"/>
        <v>-0.78308000000000011</v>
      </c>
      <c r="G179" s="42">
        <f t="shared" si="6"/>
        <v>-3.6157031900000053E-2</v>
      </c>
      <c r="I179">
        <v>54</v>
      </c>
      <c r="J179" s="43">
        <v>43604</v>
      </c>
      <c r="K179" s="44">
        <v>0.5</v>
      </c>
      <c r="L179" s="47">
        <v>8.9169999999999998</v>
      </c>
      <c r="M179" s="42">
        <v>-1.9035278449999999</v>
      </c>
      <c r="N179" s="42">
        <f t="shared" si="8"/>
        <v>8.9169999999999999E-2</v>
      </c>
      <c r="O179" s="42">
        <f t="shared" si="5"/>
        <v>-1.9035278449999998E-2</v>
      </c>
      <c r="Q179">
        <v>74</v>
      </c>
      <c r="R179" s="43">
        <v>43618</v>
      </c>
      <c r="S179" s="44">
        <v>0.5</v>
      </c>
      <c r="T179" s="45">
        <v>-137.69999999999999</v>
      </c>
      <c r="U179" s="42">
        <v>-1.09586863</v>
      </c>
      <c r="V179" s="46">
        <f t="shared" si="4"/>
        <v>-1.3769999999999998</v>
      </c>
      <c r="W179" s="42">
        <f t="shared" si="4"/>
        <v>-1.0958686299999999E-2</v>
      </c>
    </row>
    <row r="180" spans="1:23" x14ac:dyDescent="0.2">
      <c r="A180">
        <v>52</v>
      </c>
      <c r="B180" s="43">
        <v>43617</v>
      </c>
      <c r="C180" s="44">
        <v>0.5</v>
      </c>
      <c r="D180">
        <v>-45.292000000000002</v>
      </c>
      <c r="E180" s="42">
        <v>-3.5657031900000042</v>
      </c>
      <c r="F180" s="42">
        <f t="shared" si="7"/>
        <v>-0.45291999999999999</v>
      </c>
      <c r="G180" s="42">
        <f t="shared" si="6"/>
        <v>-3.5657031900000045E-2</v>
      </c>
      <c r="I180">
        <v>55</v>
      </c>
      <c r="J180" s="43">
        <v>43605</v>
      </c>
      <c r="K180" s="44">
        <v>0.5</v>
      </c>
      <c r="L180" s="47">
        <v>9.9670000000000005</v>
      </c>
      <c r="M180" s="42">
        <v>-1.8865801040000001</v>
      </c>
      <c r="N180" s="42">
        <f t="shared" si="8"/>
        <v>9.9670000000000009E-2</v>
      </c>
      <c r="O180" s="42">
        <f t="shared" si="5"/>
        <v>-1.8865801040000001E-2</v>
      </c>
      <c r="Q180">
        <v>75</v>
      </c>
      <c r="R180" s="43">
        <v>43619</v>
      </c>
      <c r="S180" s="44">
        <v>0.5</v>
      </c>
      <c r="T180" s="45">
        <v>-138</v>
      </c>
      <c r="U180" s="42">
        <v>-1.1670411999999999</v>
      </c>
      <c r="V180" s="46">
        <f t="shared" si="4"/>
        <v>-1.38</v>
      </c>
      <c r="W180" s="42">
        <f t="shared" si="4"/>
        <v>-1.1670411999999998E-2</v>
      </c>
    </row>
    <row r="181" spans="1:23" x14ac:dyDescent="0.2">
      <c r="A181">
        <v>53</v>
      </c>
      <c r="B181" s="43">
        <v>43618</v>
      </c>
      <c r="C181" s="44">
        <v>0.5</v>
      </c>
      <c r="D181">
        <v>-23.475000000000001</v>
      </c>
      <c r="E181" s="42">
        <v>-3.0017554400000037</v>
      </c>
      <c r="F181" s="42">
        <f t="shared" si="7"/>
        <v>-0.23475000000000001</v>
      </c>
      <c r="G181" s="42">
        <f t="shared" si="6"/>
        <v>-3.0017554400000038E-2</v>
      </c>
      <c r="I181">
        <v>56</v>
      </c>
      <c r="J181" s="43">
        <v>43606</v>
      </c>
      <c r="K181" s="44">
        <v>0.5</v>
      </c>
      <c r="L181" s="47">
        <v>9.9670000000000005</v>
      </c>
      <c r="M181" s="42">
        <v>-1.8697951399999999</v>
      </c>
      <c r="N181" s="42">
        <f t="shared" si="8"/>
        <v>9.9670000000000009E-2</v>
      </c>
      <c r="O181" s="42">
        <f t="shared" si="5"/>
        <v>-1.8697951399999999E-2</v>
      </c>
      <c r="Q181">
        <v>76</v>
      </c>
      <c r="R181" s="43">
        <v>43620</v>
      </c>
      <c r="S181" s="44">
        <v>0.5</v>
      </c>
      <c r="T181" s="45">
        <v>-139.9</v>
      </c>
      <c r="U181" s="42">
        <v>-1.0978392400000001</v>
      </c>
      <c r="V181" s="46">
        <f t="shared" si="4"/>
        <v>-1.399</v>
      </c>
      <c r="W181" s="42">
        <f t="shared" si="4"/>
        <v>-1.0978392400000002E-2</v>
      </c>
    </row>
    <row r="182" spans="1:23" x14ac:dyDescent="0.2">
      <c r="A182">
        <v>54</v>
      </c>
      <c r="B182" s="43">
        <v>43619</v>
      </c>
      <c r="C182" s="44">
        <v>0.5</v>
      </c>
      <c r="D182">
        <v>-22.542000000000002</v>
      </c>
      <c r="E182" s="42">
        <v>-2.8083440800000048</v>
      </c>
      <c r="F182" s="42">
        <f t="shared" si="7"/>
        <v>-0.22542000000000001</v>
      </c>
      <c r="G182" s="42">
        <f t="shared" si="6"/>
        <v>-2.8083440800000047E-2</v>
      </c>
      <c r="I182">
        <v>57</v>
      </c>
      <c r="J182" s="43">
        <v>43607</v>
      </c>
      <c r="K182" s="44">
        <v>0.5</v>
      </c>
      <c r="L182" s="47">
        <v>13.058</v>
      </c>
      <c r="M182" s="42">
        <v>-1.842274462</v>
      </c>
      <c r="N182" s="42">
        <f t="shared" si="8"/>
        <v>0.13058</v>
      </c>
      <c r="O182" s="42">
        <f t="shared" si="5"/>
        <v>-1.8422744620000001E-2</v>
      </c>
      <c r="Q182">
        <v>77</v>
      </c>
      <c r="R182" s="43">
        <v>43621</v>
      </c>
      <c r="S182" s="44">
        <v>0.5</v>
      </c>
      <c r="T182" s="45">
        <v>-138</v>
      </c>
      <c r="U182" s="42">
        <v>-1.1673554900000001</v>
      </c>
      <c r="V182" s="46">
        <f t="shared" si="4"/>
        <v>-1.38</v>
      </c>
      <c r="W182" s="42">
        <f t="shared" si="4"/>
        <v>-1.1673554900000001E-2</v>
      </c>
    </row>
    <row r="183" spans="1:23" x14ac:dyDescent="0.2">
      <c r="A183">
        <v>55</v>
      </c>
      <c r="B183" s="43">
        <v>43620</v>
      </c>
      <c r="C183" s="44">
        <v>0.5</v>
      </c>
      <c r="D183">
        <v>-23.65</v>
      </c>
      <c r="E183" s="42">
        <v>-2.7109648900000032</v>
      </c>
      <c r="F183" s="42">
        <f t="shared" si="7"/>
        <v>-0.23649999999999999</v>
      </c>
      <c r="G183" s="42">
        <f t="shared" si="6"/>
        <v>-2.7109648900000033E-2</v>
      </c>
      <c r="I183">
        <v>58</v>
      </c>
      <c r="J183" s="43">
        <v>43608</v>
      </c>
      <c r="K183" s="44">
        <v>0.5</v>
      </c>
      <c r="L183" s="47">
        <v>14.574999999999999</v>
      </c>
      <c r="M183" s="42">
        <v>-1.753456275</v>
      </c>
      <c r="N183" s="42">
        <f t="shared" si="8"/>
        <v>0.14574999999999999</v>
      </c>
      <c r="O183" s="42">
        <f t="shared" si="5"/>
        <v>-1.753456275E-2</v>
      </c>
      <c r="Q183">
        <v>78</v>
      </c>
      <c r="R183" s="43">
        <v>43622</v>
      </c>
      <c r="S183" s="44">
        <v>0.5</v>
      </c>
      <c r="T183" s="45">
        <v>-137.9</v>
      </c>
      <c r="U183" s="42">
        <v>-1.13477384</v>
      </c>
      <c r="V183" s="46">
        <f t="shared" ref="V183:W246" si="9">T183/100</f>
        <v>-1.379</v>
      </c>
      <c r="W183" s="42">
        <f t="shared" si="9"/>
        <v>-1.13477384E-2</v>
      </c>
    </row>
    <row r="184" spans="1:23" x14ac:dyDescent="0.2">
      <c r="A184">
        <v>56</v>
      </c>
      <c r="B184" s="43">
        <v>43621</v>
      </c>
      <c r="C184" s="44">
        <v>0.5</v>
      </c>
      <c r="D184">
        <v>-17.7</v>
      </c>
      <c r="E184" s="42">
        <v>-2.615703190000005</v>
      </c>
      <c r="F184" s="42">
        <f t="shared" si="7"/>
        <v>-0.17699999999999999</v>
      </c>
      <c r="G184" s="42">
        <f t="shared" si="6"/>
        <v>-2.6157031900000051E-2</v>
      </c>
      <c r="I184">
        <v>59</v>
      </c>
      <c r="J184" s="43">
        <v>43609</v>
      </c>
      <c r="K184" s="44">
        <v>0.5</v>
      </c>
      <c r="L184" s="47">
        <v>12.882999999999999</v>
      </c>
      <c r="M184" s="42">
        <v>-1.453507025</v>
      </c>
      <c r="N184" s="42">
        <f t="shared" si="8"/>
        <v>0.12883</v>
      </c>
      <c r="O184" s="42">
        <f t="shared" si="5"/>
        <v>-1.4535070249999999E-2</v>
      </c>
      <c r="Q184">
        <v>79</v>
      </c>
      <c r="R184" s="43">
        <v>43623</v>
      </c>
      <c r="S184" s="44">
        <v>0.5</v>
      </c>
      <c r="T184" s="45">
        <v>-133.80000000000001</v>
      </c>
      <c r="U184" s="42">
        <v>-1.1000000000000001</v>
      </c>
      <c r="V184" s="46">
        <f t="shared" si="9"/>
        <v>-1.3380000000000001</v>
      </c>
      <c r="W184" s="42">
        <f t="shared" si="9"/>
        <v>-1.1000000000000001E-2</v>
      </c>
    </row>
    <row r="185" spans="1:23" x14ac:dyDescent="0.2">
      <c r="A185">
        <v>57</v>
      </c>
      <c r="B185" s="43">
        <v>43622</v>
      </c>
      <c r="C185" s="44">
        <v>0.5</v>
      </c>
      <c r="D185">
        <v>0.20799999999999999</v>
      </c>
      <c r="E185" s="42">
        <v>-2.5923450000000052</v>
      </c>
      <c r="F185" s="42">
        <f t="shared" si="7"/>
        <v>2.0799999999999998E-3</v>
      </c>
      <c r="G185" s="42">
        <f t="shared" si="6"/>
        <v>-2.5923450000000053E-2</v>
      </c>
      <c r="I185">
        <v>60</v>
      </c>
      <c r="J185" s="43">
        <v>43610</v>
      </c>
      <c r="K185" s="44">
        <v>0.5</v>
      </c>
      <c r="L185" s="47">
        <v>11.95</v>
      </c>
      <c r="M185" s="42">
        <v>-1.7201054469999999</v>
      </c>
      <c r="N185" s="42">
        <f t="shared" si="8"/>
        <v>0.1195</v>
      </c>
      <c r="O185" s="42">
        <f t="shared" si="5"/>
        <v>-1.7201054469999998E-2</v>
      </c>
      <c r="Q185">
        <v>80</v>
      </c>
      <c r="R185" s="43">
        <v>43624</v>
      </c>
      <c r="S185" s="44">
        <v>0.5</v>
      </c>
      <c r="T185" s="45">
        <v>-133.4</v>
      </c>
      <c r="U185" s="42">
        <v>-1.1000000000000001</v>
      </c>
      <c r="V185" s="46">
        <f t="shared" si="9"/>
        <v>-1.3340000000000001</v>
      </c>
      <c r="W185" s="42">
        <f t="shared" si="9"/>
        <v>-1.1000000000000001E-2</v>
      </c>
    </row>
    <row r="186" spans="1:23" x14ac:dyDescent="0.2">
      <c r="A186">
        <v>58</v>
      </c>
      <c r="B186" s="43">
        <v>43623</v>
      </c>
      <c r="C186" s="44">
        <v>0.5</v>
      </c>
      <c r="D186">
        <v>-8.5419999999999998</v>
      </c>
      <c r="E186" s="42">
        <v>-2.8157031900000042</v>
      </c>
      <c r="F186" s="42">
        <f t="shared" si="7"/>
        <v>-8.5419999999999996E-2</v>
      </c>
      <c r="G186" s="42">
        <f t="shared" si="6"/>
        <v>-2.8157031900000042E-2</v>
      </c>
      <c r="I186">
        <v>61</v>
      </c>
      <c r="J186" s="43">
        <v>43611</v>
      </c>
      <c r="K186" s="44">
        <v>0.5</v>
      </c>
      <c r="L186" s="47">
        <v>11.132999999999999</v>
      </c>
      <c r="M186" s="42">
        <v>-1.7366460349999999</v>
      </c>
      <c r="N186" s="42">
        <f t="shared" si="8"/>
        <v>0.11132999999999998</v>
      </c>
      <c r="O186" s="42">
        <f t="shared" si="5"/>
        <v>-1.7366460349999998E-2</v>
      </c>
      <c r="Q186">
        <v>81</v>
      </c>
      <c r="R186" s="43">
        <v>43625</v>
      </c>
      <c r="S186" s="44">
        <v>0.5</v>
      </c>
      <c r="T186" s="45">
        <v>-135.4</v>
      </c>
      <c r="U186" s="42">
        <v>-1.1000000000000001</v>
      </c>
      <c r="V186" s="46">
        <f t="shared" si="9"/>
        <v>-1.3540000000000001</v>
      </c>
      <c r="W186" s="42">
        <f t="shared" si="9"/>
        <v>-1.1000000000000001E-2</v>
      </c>
    </row>
    <row r="187" spans="1:23" x14ac:dyDescent="0.2">
      <c r="A187">
        <v>59</v>
      </c>
      <c r="B187" s="43">
        <v>43624</v>
      </c>
      <c r="C187" s="44">
        <v>0.5</v>
      </c>
      <c r="D187">
        <v>-6.7329999999999997</v>
      </c>
      <c r="E187" s="42">
        <v>-2.2657031900000035</v>
      </c>
      <c r="F187" s="42">
        <f t="shared" si="7"/>
        <v>-6.7330000000000001E-2</v>
      </c>
      <c r="G187" s="42">
        <f t="shared" si="6"/>
        <v>-2.2657031900000034E-2</v>
      </c>
      <c r="I187">
        <v>62</v>
      </c>
      <c r="J187" s="43">
        <v>43612</v>
      </c>
      <c r="K187" s="44">
        <v>0.5</v>
      </c>
      <c r="L187" s="47">
        <v>11.016999999999999</v>
      </c>
      <c r="M187" s="42">
        <v>-1.7865222700000001</v>
      </c>
      <c r="N187" s="42">
        <f t="shared" si="8"/>
        <v>0.11016999999999999</v>
      </c>
      <c r="O187" s="42">
        <f t="shared" si="5"/>
        <v>-1.7865222700000002E-2</v>
      </c>
      <c r="Q187">
        <v>82</v>
      </c>
      <c r="R187" s="43">
        <v>43626</v>
      </c>
      <c r="S187" s="44">
        <v>0.5</v>
      </c>
      <c r="T187" s="45">
        <v>-137.6</v>
      </c>
      <c r="U187" s="42">
        <v>-1.1499999999999999</v>
      </c>
      <c r="V187" s="46">
        <f t="shared" si="9"/>
        <v>-1.3759999999999999</v>
      </c>
      <c r="W187" s="42">
        <f t="shared" si="9"/>
        <v>-1.15E-2</v>
      </c>
    </row>
    <row r="188" spans="1:23" x14ac:dyDescent="0.2">
      <c r="A188">
        <v>60</v>
      </c>
      <c r="B188" s="43">
        <v>43625</v>
      </c>
      <c r="C188" s="44">
        <v>0.5</v>
      </c>
      <c r="D188">
        <v>-9.8249999999999993</v>
      </c>
      <c r="E188" s="42">
        <v>-2.2157031900000028</v>
      </c>
      <c r="F188" s="42">
        <f t="shared" si="7"/>
        <v>-9.824999999999999E-2</v>
      </c>
      <c r="G188" s="42">
        <f t="shared" si="6"/>
        <v>-2.2157031900000027E-2</v>
      </c>
      <c r="I188">
        <v>63</v>
      </c>
      <c r="J188" s="43">
        <v>43613</v>
      </c>
      <c r="K188" s="44">
        <v>0.5</v>
      </c>
      <c r="L188" s="47">
        <v>10.782999999999999</v>
      </c>
      <c r="M188" s="42">
        <v>-1.8030802079999999</v>
      </c>
      <c r="N188" s="42">
        <f t="shared" si="8"/>
        <v>0.10783</v>
      </c>
      <c r="O188" s="42">
        <f t="shared" si="5"/>
        <v>-1.8030802079999998E-2</v>
      </c>
      <c r="Q188">
        <v>83</v>
      </c>
      <c r="R188" s="43">
        <v>43627</v>
      </c>
      <c r="S188" s="44">
        <v>0.5</v>
      </c>
      <c r="T188" s="45">
        <v>-138</v>
      </c>
      <c r="U188" s="42">
        <v>-1.1499999999999999</v>
      </c>
      <c r="V188" s="46">
        <f t="shared" si="9"/>
        <v>-1.38</v>
      </c>
      <c r="W188" s="42">
        <f t="shared" si="9"/>
        <v>-1.15E-2</v>
      </c>
    </row>
    <row r="189" spans="1:23" x14ac:dyDescent="0.2">
      <c r="A189">
        <v>61</v>
      </c>
      <c r="B189" s="43">
        <v>43626</v>
      </c>
      <c r="C189" s="44">
        <v>0.5</v>
      </c>
      <c r="D189">
        <v>-11.925000000000001</v>
      </c>
      <c r="E189" s="42">
        <v>-2.2157031900000028</v>
      </c>
      <c r="F189" s="42">
        <f t="shared" si="7"/>
        <v>-0.11925000000000001</v>
      </c>
      <c r="G189" s="42">
        <f t="shared" si="6"/>
        <v>-2.2157031900000027E-2</v>
      </c>
      <c r="I189">
        <v>64</v>
      </c>
      <c r="J189" s="43">
        <v>43614</v>
      </c>
      <c r="K189" s="44">
        <v>0.5</v>
      </c>
      <c r="L189" s="47">
        <v>10.257999999999999</v>
      </c>
      <c r="M189" s="42">
        <v>-1.8033885089999999</v>
      </c>
      <c r="N189" s="42">
        <f t="shared" si="8"/>
        <v>0.10257999999999999</v>
      </c>
      <c r="O189" s="42">
        <f t="shared" si="5"/>
        <v>-1.803388509E-2</v>
      </c>
      <c r="Q189">
        <v>84</v>
      </c>
      <c r="R189" s="43">
        <v>43628</v>
      </c>
      <c r="S189" s="44">
        <v>0.5</v>
      </c>
      <c r="T189" s="45">
        <v>-139.6</v>
      </c>
      <c r="U189" s="42">
        <v>-1.1499999999999999</v>
      </c>
      <c r="V189" s="46">
        <f t="shared" si="9"/>
        <v>-1.3959999999999999</v>
      </c>
      <c r="W189" s="42">
        <f t="shared" si="9"/>
        <v>-1.15E-2</v>
      </c>
    </row>
    <row r="190" spans="1:23" x14ac:dyDescent="0.2">
      <c r="A190">
        <v>62</v>
      </c>
      <c r="B190" s="43">
        <v>43627</v>
      </c>
      <c r="C190" s="44">
        <v>0.5</v>
      </c>
      <c r="D190">
        <v>-13.032999999999999</v>
      </c>
      <c r="E190" s="42">
        <v>-2.2157031900000028</v>
      </c>
      <c r="F190" s="42">
        <f t="shared" si="7"/>
        <v>-0.13033</v>
      </c>
      <c r="G190" s="42">
        <f t="shared" si="6"/>
        <v>-2.2157031900000027E-2</v>
      </c>
      <c r="I190">
        <v>65</v>
      </c>
      <c r="J190" s="43">
        <v>43615</v>
      </c>
      <c r="K190" s="44">
        <v>0.5</v>
      </c>
      <c r="L190" s="47">
        <v>10.083</v>
      </c>
      <c r="M190" s="42">
        <v>-1.820061782</v>
      </c>
      <c r="N190" s="42">
        <f t="shared" si="8"/>
        <v>0.10083</v>
      </c>
      <c r="O190" s="42">
        <f t="shared" si="5"/>
        <v>-1.8200617820000001E-2</v>
      </c>
      <c r="Q190">
        <v>85</v>
      </c>
      <c r="R190" s="43">
        <v>43629</v>
      </c>
      <c r="S190" s="44">
        <v>0.5</v>
      </c>
      <c r="T190" s="45">
        <v>-141.30000000000001</v>
      </c>
      <c r="U190" s="42">
        <v>-1.2</v>
      </c>
      <c r="V190" s="46">
        <f t="shared" si="9"/>
        <v>-1.413</v>
      </c>
      <c r="W190" s="42">
        <f t="shared" si="9"/>
        <v>-1.2E-2</v>
      </c>
    </row>
    <row r="191" spans="1:23" x14ac:dyDescent="0.2">
      <c r="A191">
        <v>63</v>
      </c>
      <c r="B191" s="43">
        <v>43628</v>
      </c>
      <c r="C191" s="44">
        <v>0.5</v>
      </c>
      <c r="D191">
        <v>-14.257999999999999</v>
      </c>
      <c r="E191" s="42">
        <v>-2.1657031900000021</v>
      </c>
      <c r="F191" s="42">
        <f t="shared" si="7"/>
        <v>-0.14257999999999998</v>
      </c>
      <c r="G191" s="42">
        <f t="shared" si="6"/>
        <v>-2.1657031900000023E-2</v>
      </c>
      <c r="I191">
        <v>66</v>
      </c>
      <c r="J191" s="43">
        <v>43616</v>
      </c>
      <c r="K191" s="44">
        <v>0.5</v>
      </c>
      <c r="L191" s="47">
        <v>11.192</v>
      </c>
      <c r="M191" s="42">
        <v>-1.8368091280000001</v>
      </c>
      <c r="N191" s="42">
        <f t="shared" si="8"/>
        <v>0.11192000000000001</v>
      </c>
      <c r="O191" s="42">
        <f t="shared" si="8"/>
        <v>-1.8368091280000002E-2</v>
      </c>
      <c r="Q191">
        <v>86</v>
      </c>
      <c r="R191" s="43">
        <v>43630</v>
      </c>
      <c r="S191" s="44">
        <v>0.5</v>
      </c>
      <c r="T191" s="45">
        <v>-142.9</v>
      </c>
      <c r="U191" s="42">
        <v>-1.25</v>
      </c>
      <c r="V191" s="46">
        <f t="shared" si="9"/>
        <v>-1.429</v>
      </c>
      <c r="W191" s="42">
        <f t="shared" si="9"/>
        <v>-1.2500000000000001E-2</v>
      </c>
    </row>
    <row r="192" spans="1:23" x14ac:dyDescent="0.2">
      <c r="A192">
        <v>64</v>
      </c>
      <c r="B192" s="43">
        <v>43629</v>
      </c>
      <c r="C192" s="44">
        <v>0.5</v>
      </c>
      <c r="D192">
        <v>-14.667</v>
      </c>
      <c r="E192" s="42">
        <v>-2.2157031900000028</v>
      </c>
      <c r="F192" s="42">
        <f t="shared" si="7"/>
        <v>-0.14666999999999999</v>
      </c>
      <c r="G192" s="42">
        <f t="shared" si="6"/>
        <v>-2.2157031900000027E-2</v>
      </c>
      <c r="I192">
        <v>67</v>
      </c>
      <c r="J192" s="43">
        <v>43617</v>
      </c>
      <c r="K192" s="44">
        <v>0.5</v>
      </c>
      <c r="L192" s="47">
        <v>12.532999999999999</v>
      </c>
      <c r="M192" s="42">
        <v>-1.803354342</v>
      </c>
      <c r="N192" s="42">
        <f t="shared" si="8"/>
        <v>0.12533</v>
      </c>
      <c r="O192" s="42">
        <f t="shared" si="8"/>
        <v>-1.8033543419999999E-2</v>
      </c>
      <c r="Q192">
        <v>87</v>
      </c>
      <c r="R192" s="43">
        <v>43631</v>
      </c>
      <c r="S192" s="44">
        <v>0.5</v>
      </c>
      <c r="T192" s="45">
        <v>-143.5</v>
      </c>
      <c r="U192" s="42">
        <v>-1.3</v>
      </c>
      <c r="V192" s="46">
        <f t="shared" si="9"/>
        <v>-1.4350000000000001</v>
      </c>
      <c r="W192" s="42">
        <f t="shared" si="9"/>
        <v>-1.3000000000000001E-2</v>
      </c>
    </row>
    <row r="193" spans="1:23" x14ac:dyDescent="0.2">
      <c r="A193">
        <v>65</v>
      </c>
      <c r="B193" s="43">
        <v>43630</v>
      </c>
      <c r="C193" s="44">
        <v>0.5</v>
      </c>
      <c r="D193">
        <v>-15.542</v>
      </c>
      <c r="E193" s="42">
        <v>-2.2157031900000028</v>
      </c>
      <c r="F193" s="42">
        <f t="shared" si="7"/>
        <v>-0.15542</v>
      </c>
      <c r="G193" s="42">
        <f t="shared" si="6"/>
        <v>-2.2157031900000027E-2</v>
      </c>
      <c r="I193">
        <v>68</v>
      </c>
      <c r="J193" s="43">
        <v>43618</v>
      </c>
      <c r="K193" s="44">
        <v>0.5</v>
      </c>
      <c r="L193" s="47">
        <v>11.891999999999999</v>
      </c>
      <c r="M193" s="42">
        <v>-1.7705295299999999</v>
      </c>
      <c r="N193" s="42">
        <f t="shared" si="8"/>
        <v>0.11892</v>
      </c>
      <c r="O193" s="42">
        <f t="shared" si="8"/>
        <v>-1.77052953E-2</v>
      </c>
      <c r="Q193">
        <v>88</v>
      </c>
      <c r="R193" s="43">
        <v>43632</v>
      </c>
      <c r="S193" s="44">
        <v>0.5</v>
      </c>
      <c r="T193" s="45">
        <v>-145.6</v>
      </c>
      <c r="U193" s="42">
        <v>-1.3</v>
      </c>
      <c r="V193" s="46">
        <f t="shared" si="9"/>
        <v>-1.456</v>
      </c>
      <c r="W193" s="42">
        <f t="shared" si="9"/>
        <v>-1.3000000000000001E-2</v>
      </c>
    </row>
    <row r="194" spans="1:23" x14ac:dyDescent="0.2">
      <c r="A194">
        <v>66</v>
      </c>
      <c r="B194" s="43">
        <v>43631</v>
      </c>
      <c r="C194" s="44">
        <v>0.5</v>
      </c>
      <c r="D194">
        <v>-14.608000000000001</v>
      </c>
      <c r="E194" s="42">
        <v>-2.2157031900000028</v>
      </c>
      <c r="F194" s="42">
        <f t="shared" si="7"/>
        <v>-0.14608000000000002</v>
      </c>
      <c r="G194" s="42">
        <f t="shared" si="7"/>
        <v>-2.2157031900000027E-2</v>
      </c>
      <c r="I194">
        <v>69</v>
      </c>
      <c r="J194" s="43">
        <v>43619</v>
      </c>
      <c r="K194" s="44">
        <v>0.5</v>
      </c>
      <c r="L194" s="47">
        <v>10.608000000000001</v>
      </c>
      <c r="M194" s="42">
        <v>-1.7872230840000001</v>
      </c>
      <c r="N194" s="42">
        <f t="shared" si="8"/>
        <v>0.10608000000000001</v>
      </c>
      <c r="O194" s="42">
        <f t="shared" si="8"/>
        <v>-1.7872230839999999E-2</v>
      </c>
      <c r="Q194">
        <v>89</v>
      </c>
      <c r="R194" s="43">
        <v>43633</v>
      </c>
      <c r="S194" s="44">
        <v>0.5</v>
      </c>
      <c r="T194" s="45">
        <v>-147</v>
      </c>
      <c r="U194" s="42">
        <v>-1.35</v>
      </c>
      <c r="V194" s="46">
        <f t="shared" si="9"/>
        <v>-1.47</v>
      </c>
      <c r="W194" s="42">
        <f t="shared" si="9"/>
        <v>-1.3500000000000002E-2</v>
      </c>
    </row>
    <row r="195" spans="1:23" x14ac:dyDescent="0.2">
      <c r="A195">
        <v>67</v>
      </c>
      <c r="B195" s="43">
        <v>43632</v>
      </c>
      <c r="C195" s="44">
        <v>0.5</v>
      </c>
      <c r="D195">
        <v>-16.358000000000001</v>
      </c>
      <c r="E195" s="42">
        <v>-2.1657031900000021</v>
      </c>
      <c r="F195" s="42">
        <f t="shared" si="7"/>
        <v>-0.16358</v>
      </c>
      <c r="G195" s="42">
        <f t="shared" si="7"/>
        <v>-2.1657031900000023E-2</v>
      </c>
      <c r="I195">
        <v>70</v>
      </c>
      <c r="J195" s="43">
        <v>43620</v>
      </c>
      <c r="K195" s="44">
        <v>0.5</v>
      </c>
      <c r="L195" s="47">
        <v>11.25</v>
      </c>
      <c r="M195" s="42">
        <v>-1.7869169030000001</v>
      </c>
      <c r="N195" s="42">
        <f t="shared" si="8"/>
        <v>0.1125</v>
      </c>
      <c r="O195" s="42">
        <f t="shared" si="8"/>
        <v>-1.786916903E-2</v>
      </c>
      <c r="Q195">
        <v>90</v>
      </c>
      <c r="R195" s="43">
        <v>43634</v>
      </c>
      <c r="S195" s="44">
        <v>0.5</v>
      </c>
      <c r="T195" s="45">
        <v>-148.5</v>
      </c>
      <c r="U195" s="42">
        <v>-1.35</v>
      </c>
      <c r="V195" s="46">
        <f t="shared" si="9"/>
        <v>-1.4850000000000001</v>
      </c>
      <c r="W195" s="42">
        <f t="shared" si="9"/>
        <v>-1.3500000000000002E-2</v>
      </c>
    </row>
    <row r="196" spans="1:23" x14ac:dyDescent="0.2">
      <c r="A196">
        <v>68</v>
      </c>
      <c r="B196" s="43">
        <v>43633</v>
      </c>
      <c r="C196" s="44">
        <v>0.5</v>
      </c>
      <c r="D196">
        <v>-17.350000000000001</v>
      </c>
      <c r="E196" s="42">
        <v>-2.2154703500000039</v>
      </c>
      <c r="F196" s="42">
        <f t="shared" si="7"/>
        <v>-0.17350000000000002</v>
      </c>
      <c r="G196" s="42">
        <f t="shared" si="7"/>
        <v>-2.2154703500000039E-2</v>
      </c>
      <c r="I196">
        <v>71</v>
      </c>
      <c r="J196" s="43">
        <v>43621</v>
      </c>
      <c r="K196" s="44">
        <v>0.5</v>
      </c>
      <c r="L196" s="47">
        <v>12.882999999999999</v>
      </c>
      <c r="M196" s="42">
        <v>-1.7371838930000001</v>
      </c>
      <c r="N196" s="42">
        <f t="shared" si="8"/>
        <v>0.12883</v>
      </c>
      <c r="O196" s="42">
        <f t="shared" si="8"/>
        <v>-1.7371838930000001E-2</v>
      </c>
      <c r="Q196">
        <v>91</v>
      </c>
      <c r="R196" s="43">
        <v>43635</v>
      </c>
      <c r="S196" s="44">
        <v>0.5</v>
      </c>
      <c r="T196" s="45">
        <v>-149.70000000000002</v>
      </c>
      <c r="U196" s="42">
        <v>-1.4</v>
      </c>
      <c r="V196" s="46">
        <f t="shared" si="9"/>
        <v>-1.4970000000000001</v>
      </c>
      <c r="W196" s="42">
        <f t="shared" si="9"/>
        <v>-1.3999999999999999E-2</v>
      </c>
    </row>
    <row r="197" spans="1:23" x14ac:dyDescent="0.2">
      <c r="A197">
        <v>69</v>
      </c>
      <c r="B197" s="43">
        <v>43634</v>
      </c>
      <c r="C197" s="44">
        <v>0.5</v>
      </c>
      <c r="D197">
        <v>-17.933</v>
      </c>
      <c r="E197" s="42">
        <v>-2.216018530000003</v>
      </c>
      <c r="F197" s="42">
        <f t="shared" si="7"/>
        <v>-0.17932999999999999</v>
      </c>
      <c r="G197" s="42">
        <f t="shared" si="7"/>
        <v>-2.2160185300000031E-2</v>
      </c>
      <c r="I197">
        <v>72</v>
      </c>
      <c r="J197" s="43">
        <v>43622</v>
      </c>
      <c r="K197" s="44">
        <v>0.5</v>
      </c>
      <c r="L197" s="47">
        <v>19.067</v>
      </c>
      <c r="M197" s="42">
        <v>-1.7370537660000001</v>
      </c>
      <c r="N197" s="42">
        <f t="shared" si="8"/>
        <v>0.19067000000000001</v>
      </c>
      <c r="O197" s="42">
        <f t="shared" si="8"/>
        <v>-1.7370537660000001E-2</v>
      </c>
      <c r="Q197">
        <v>92</v>
      </c>
      <c r="R197" s="43">
        <v>43636</v>
      </c>
      <c r="S197" s="44">
        <v>0.5</v>
      </c>
      <c r="T197" s="45">
        <v>-150.1</v>
      </c>
      <c r="U197" s="42">
        <v>-1.35</v>
      </c>
      <c r="V197" s="46">
        <f t="shared" si="9"/>
        <v>-1.5009999999999999</v>
      </c>
      <c r="W197" s="42">
        <f t="shared" si="9"/>
        <v>-1.3500000000000002E-2</v>
      </c>
    </row>
    <row r="198" spans="1:23" x14ac:dyDescent="0.2">
      <c r="A198">
        <v>70</v>
      </c>
      <c r="B198" s="43">
        <v>43635</v>
      </c>
      <c r="C198" s="44">
        <v>0.5</v>
      </c>
      <c r="D198">
        <v>-18.457999999999998</v>
      </c>
      <c r="E198" s="42">
        <v>-2.2164440400000025</v>
      </c>
      <c r="F198" s="42">
        <f t="shared" si="7"/>
        <v>-0.18457999999999999</v>
      </c>
      <c r="G198" s="42">
        <f t="shared" si="7"/>
        <v>-2.2164440400000027E-2</v>
      </c>
      <c r="I198">
        <v>73</v>
      </c>
      <c r="J198" s="43">
        <v>43623</v>
      </c>
      <c r="K198" s="44">
        <v>0.5</v>
      </c>
      <c r="L198" s="47">
        <v>17.2</v>
      </c>
      <c r="M198" s="42">
        <v>-1.5376582990000001</v>
      </c>
      <c r="N198" s="42">
        <f t="shared" si="8"/>
        <v>0.17199999999999999</v>
      </c>
      <c r="O198" s="42">
        <f t="shared" si="8"/>
        <v>-1.537658299E-2</v>
      </c>
      <c r="Q198">
        <v>93</v>
      </c>
      <c r="R198" s="43">
        <v>43637</v>
      </c>
      <c r="S198" s="44">
        <v>0.5</v>
      </c>
      <c r="T198" s="45">
        <v>-151.19999999999999</v>
      </c>
      <c r="U198" s="42">
        <v>-1.35</v>
      </c>
      <c r="V198" s="46">
        <f t="shared" si="9"/>
        <v>-1.5119999999999998</v>
      </c>
      <c r="W198" s="42">
        <f t="shared" si="9"/>
        <v>-1.3500000000000002E-2</v>
      </c>
    </row>
    <row r="199" spans="1:23" x14ac:dyDescent="0.2">
      <c r="A199">
        <v>71</v>
      </c>
      <c r="B199" s="43">
        <v>43636</v>
      </c>
      <c r="C199" s="44">
        <v>0.5</v>
      </c>
      <c r="D199">
        <v>-18.516999999999999</v>
      </c>
      <c r="E199" s="42">
        <v>-2.2360518800000051</v>
      </c>
      <c r="F199" s="42">
        <f t="shared" si="7"/>
        <v>-0.18517</v>
      </c>
      <c r="G199" s="42">
        <f t="shared" si="7"/>
        <v>-2.2360518800000052E-2</v>
      </c>
      <c r="I199">
        <v>74</v>
      </c>
      <c r="J199" s="43">
        <v>43624</v>
      </c>
      <c r="K199" s="44">
        <v>0.5</v>
      </c>
      <c r="L199" s="47">
        <v>14.692</v>
      </c>
      <c r="M199" s="42">
        <v>-1.604089994</v>
      </c>
      <c r="N199" s="42">
        <f t="shared" si="8"/>
        <v>0.14692</v>
      </c>
      <c r="O199" s="42">
        <f t="shared" si="8"/>
        <v>-1.6040899939999999E-2</v>
      </c>
      <c r="Q199">
        <v>94</v>
      </c>
      <c r="R199" s="43">
        <v>43638</v>
      </c>
      <c r="S199" s="44">
        <v>0.5</v>
      </c>
      <c r="T199" s="45">
        <v>-151.29999999999998</v>
      </c>
      <c r="U199" s="42">
        <v>-1.4</v>
      </c>
      <c r="V199" s="46">
        <f t="shared" si="9"/>
        <v>-1.5129999999999999</v>
      </c>
      <c r="W199" s="42">
        <f t="shared" si="9"/>
        <v>-1.3999999999999999E-2</v>
      </c>
    </row>
    <row r="200" spans="1:23" x14ac:dyDescent="0.2">
      <c r="A200">
        <v>72</v>
      </c>
      <c r="B200" s="43">
        <v>43637</v>
      </c>
      <c r="C200" s="44">
        <v>0.5</v>
      </c>
      <c r="D200">
        <v>-12.1</v>
      </c>
      <c r="E200" s="42">
        <v>-2.2164440400000025</v>
      </c>
      <c r="F200" s="42">
        <f t="shared" si="7"/>
        <v>-0.121</v>
      </c>
      <c r="G200" s="42">
        <f t="shared" si="7"/>
        <v>-2.2164440400000027E-2</v>
      </c>
      <c r="I200">
        <v>75</v>
      </c>
      <c r="J200" s="43">
        <v>43625</v>
      </c>
      <c r="K200" s="44">
        <v>0.5</v>
      </c>
      <c r="L200" s="47">
        <v>17.317</v>
      </c>
      <c r="M200" s="42">
        <v>-1.4035070249999999</v>
      </c>
      <c r="N200" s="42">
        <f t="shared" si="8"/>
        <v>0.17316999999999999</v>
      </c>
      <c r="O200" s="42">
        <f t="shared" si="8"/>
        <v>-1.4035070249999998E-2</v>
      </c>
      <c r="Q200">
        <v>95</v>
      </c>
      <c r="R200" s="43">
        <v>43639</v>
      </c>
      <c r="S200" s="44">
        <v>0.5</v>
      </c>
      <c r="T200" s="45">
        <v>-152.69999999999999</v>
      </c>
      <c r="U200" s="42">
        <v>-1.45</v>
      </c>
      <c r="V200" s="46">
        <f t="shared" si="9"/>
        <v>-1.5269999999999999</v>
      </c>
      <c r="W200" s="42">
        <f t="shared" si="9"/>
        <v>-1.4499999999999999E-2</v>
      </c>
    </row>
    <row r="201" spans="1:23" x14ac:dyDescent="0.2">
      <c r="A201">
        <v>73</v>
      </c>
      <c r="B201" s="43">
        <v>43638</v>
      </c>
      <c r="C201" s="44">
        <v>0.5</v>
      </c>
      <c r="D201">
        <v>-13.907999999999999</v>
      </c>
      <c r="E201" s="42">
        <v>-2.1828588200000034</v>
      </c>
      <c r="F201" s="42">
        <f t="shared" si="7"/>
        <v>-0.13907999999999998</v>
      </c>
      <c r="G201" s="42">
        <f t="shared" si="7"/>
        <v>-2.1828588200000033E-2</v>
      </c>
      <c r="I201">
        <v>76</v>
      </c>
      <c r="J201" s="43">
        <v>43626</v>
      </c>
      <c r="K201" s="44">
        <v>0.5</v>
      </c>
      <c r="L201" s="47">
        <v>14.4</v>
      </c>
      <c r="M201" s="42">
        <v>-1.6039916750000001</v>
      </c>
      <c r="N201" s="42">
        <f t="shared" si="8"/>
        <v>0.14400000000000002</v>
      </c>
      <c r="O201" s="42">
        <f t="shared" si="8"/>
        <v>-1.6039916750000001E-2</v>
      </c>
      <c r="Q201">
        <v>96</v>
      </c>
      <c r="R201" s="43">
        <v>43640</v>
      </c>
      <c r="S201" s="44">
        <v>0.5</v>
      </c>
      <c r="T201" s="45">
        <v>-154.20000000000002</v>
      </c>
      <c r="U201" s="42">
        <v>-1.45</v>
      </c>
      <c r="V201" s="46">
        <f t="shared" si="9"/>
        <v>-1.5420000000000003</v>
      </c>
      <c r="W201" s="42">
        <f t="shared" si="9"/>
        <v>-1.4499999999999999E-2</v>
      </c>
    </row>
    <row r="202" spans="1:23" x14ac:dyDescent="0.2">
      <c r="A202">
        <v>74</v>
      </c>
      <c r="B202" s="43">
        <v>43639</v>
      </c>
      <c r="C202" s="44">
        <v>0.5</v>
      </c>
      <c r="D202">
        <v>-16.649999999999999</v>
      </c>
      <c r="E202" s="42">
        <v>-2.1528708400000021</v>
      </c>
      <c r="F202" s="42">
        <f t="shared" si="7"/>
        <v>-0.16649999999999998</v>
      </c>
      <c r="G202" s="42">
        <f t="shared" si="7"/>
        <v>-2.152870840000002E-2</v>
      </c>
      <c r="I202">
        <v>77</v>
      </c>
      <c r="J202" s="43">
        <v>43627</v>
      </c>
      <c r="K202" s="44">
        <v>0.5</v>
      </c>
      <c r="L202" s="47">
        <v>13.992000000000001</v>
      </c>
      <c r="M202" s="42">
        <v>-1.604194095</v>
      </c>
      <c r="N202" s="42">
        <f t="shared" si="8"/>
        <v>0.13992000000000002</v>
      </c>
      <c r="O202" s="42">
        <f t="shared" si="8"/>
        <v>-1.604194095E-2</v>
      </c>
      <c r="Q202">
        <v>97</v>
      </c>
      <c r="R202" s="43">
        <v>43641</v>
      </c>
      <c r="S202" s="44">
        <v>0.5</v>
      </c>
      <c r="T202" s="45">
        <v>-156.20000000000002</v>
      </c>
      <c r="U202" s="42">
        <v>-1.5</v>
      </c>
      <c r="V202" s="46">
        <f t="shared" si="9"/>
        <v>-1.5620000000000003</v>
      </c>
      <c r="W202" s="42">
        <f t="shared" si="9"/>
        <v>-1.4999999999999999E-2</v>
      </c>
    </row>
    <row r="203" spans="1:23" x14ac:dyDescent="0.2">
      <c r="A203">
        <v>75</v>
      </c>
      <c r="B203" s="43">
        <v>43640</v>
      </c>
      <c r="C203" s="44">
        <v>0.5</v>
      </c>
      <c r="D203">
        <v>-18.75</v>
      </c>
      <c r="E203" s="42">
        <v>-2.1938892600000024</v>
      </c>
      <c r="F203" s="42">
        <f t="shared" ref="F203:G266" si="10">D203/100</f>
        <v>-0.1875</v>
      </c>
      <c r="G203" s="42">
        <f t="shared" si="10"/>
        <v>-2.1938892600000023E-2</v>
      </c>
      <c r="I203">
        <v>78</v>
      </c>
      <c r="J203" s="43">
        <v>43628</v>
      </c>
      <c r="K203" s="44">
        <v>0.5</v>
      </c>
      <c r="L203" s="47">
        <v>12.708</v>
      </c>
      <c r="M203" s="42">
        <v>-1.620572747</v>
      </c>
      <c r="N203" s="42">
        <f t="shared" si="8"/>
        <v>0.12708</v>
      </c>
      <c r="O203" s="42">
        <f t="shared" si="8"/>
        <v>-1.620572747E-2</v>
      </c>
      <c r="Q203">
        <v>98</v>
      </c>
      <c r="R203" s="43">
        <v>43642</v>
      </c>
      <c r="S203" s="44">
        <v>0.5</v>
      </c>
      <c r="T203" s="45">
        <v>-152.5</v>
      </c>
      <c r="U203" s="42">
        <v>-1.45</v>
      </c>
      <c r="V203" s="46">
        <f t="shared" si="9"/>
        <v>-1.5249999999999999</v>
      </c>
      <c r="W203" s="42">
        <f t="shared" si="9"/>
        <v>-1.4499999999999999E-2</v>
      </c>
    </row>
    <row r="204" spans="1:23" x14ac:dyDescent="0.2">
      <c r="A204">
        <v>76</v>
      </c>
      <c r="B204" s="43">
        <v>43641</v>
      </c>
      <c r="C204" s="44">
        <v>0.5</v>
      </c>
      <c r="D204">
        <v>-20.442</v>
      </c>
      <c r="E204" s="42">
        <v>-2.2164440400000025</v>
      </c>
      <c r="F204" s="42">
        <f t="shared" si="10"/>
        <v>-0.20441999999999999</v>
      </c>
      <c r="G204" s="42">
        <f t="shared" si="10"/>
        <v>-2.2164440400000027E-2</v>
      </c>
      <c r="I204">
        <v>79</v>
      </c>
      <c r="J204" s="43">
        <v>43629</v>
      </c>
      <c r="K204" s="44">
        <v>0.5</v>
      </c>
      <c r="L204" s="47">
        <v>11.775</v>
      </c>
      <c r="M204" s="42">
        <v>-1.6539199609999999</v>
      </c>
      <c r="N204" s="42">
        <f t="shared" si="8"/>
        <v>0.11775000000000001</v>
      </c>
      <c r="O204" s="42">
        <f t="shared" si="8"/>
        <v>-1.6539199609999999E-2</v>
      </c>
      <c r="Q204">
        <v>99</v>
      </c>
      <c r="R204" s="43">
        <v>43643</v>
      </c>
      <c r="S204" s="44">
        <v>0.5</v>
      </c>
      <c r="T204" s="45">
        <v>-154.5</v>
      </c>
      <c r="U204" s="42">
        <v>-1.45</v>
      </c>
      <c r="V204" s="46">
        <f t="shared" si="9"/>
        <v>-1.5449999999999999</v>
      </c>
      <c r="W204" s="42">
        <f t="shared" si="9"/>
        <v>-1.4499999999999999E-2</v>
      </c>
    </row>
    <row r="205" spans="1:23" x14ac:dyDescent="0.2">
      <c r="A205">
        <v>77</v>
      </c>
      <c r="B205" s="43">
        <v>43642</v>
      </c>
      <c r="C205" s="44">
        <v>0.5</v>
      </c>
      <c r="D205">
        <v>-15.425000000000001</v>
      </c>
      <c r="E205" s="42">
        <v>-2.1657031900000021</v>
      </c>
      <c r="F205" s="42">
        <f t="shared" si="10"/>
        <v>-0.15425</v>
      </c>
      <c r="G205" s="42">
        <f t="shared" si="10"/>
        <v>-2.1657031900000023E-2</v>
      </c>
      <c r="I205">
        <v>80</v>
      </c>
      <c r="J205" s="43">
        <v>43630</v>
      </c>
      <c r="K205" s="44">
        <v>0.5</v>
      </c>
      <c r="L205" s="47">
        <v>11.542</v>
      </c>
      <c r="M205" s="42">
        <v>-1.7036854850000001</v>
      </c>
      <c r="N205" s="42">
        <f t="shared" si="8"/>
        <v>0.11541999999999999</v>
      </c>
      <c r="O205" s="42">
        <f t="shared" si="8"/>
        <v>-1.7036854850000002E-2</v>
      </c>
      <c r="Q205">
        <v>100</v>
      </c>
      <c r="R205" s="43">
        <v>43644</v>
      </c>
      <c r="S205" s="44">
        <v>0.5</v>
      </c>
      <c r="T205" s="45">
        <v>-156.5</v>
      </c>
      <c r="U205" s="42">
        <v>-1.45</v>
      </c>
      <c r="V205" s="46">
        <f t="shared" si="9"/>
        <v>-1.5649999999999999</v>
      </c>
      <c r="W205" s="42">
        <f t="shared" si="9"/>
        <v>-1.4499999999999999E-2</v>
      </c>
    </row>
    <row r="206" spans="1:23" x14ac:dyDescent="0.2">
      <c r="A206">
        <v>78</v>
      </c>
      <c r="B206" s="43">
        <v>43643</v>
      </c>
      <c r="C206" s="44">
        <v>0.5</v>
      </c>
      <c r="D206">
        <v>-17.7</v>
      </c>
      <c r="E206" s="42">
        <v>-2.2157031900000028</v>
      </c>
      <c r="F206" s="42">
        <f t="shared" si="10"/>
        <v>-0.17699999999999999</v>
      </c>
      <c r="G206" s="42">
        <f t="shared" si="10"/>
        <v>-2.2157031900000027E-2</v>
      </c>
      <c r="I206">
        <v>81</v>
      </c>
      <c r="J206" s="43">
        <v>43631</v>
      </c>
      <c r="K206" s="44">
        <v>0.5</v>
      </c>
      <c r="L206" s="47">
        <v>13.058</v>
      </c>
      <c r="M206" s="42">
        <v>-1.6374935960000001</v>
      </c>
      <c r="N206" s="42">
        <f t="shared" ref="N206:O269" si="11">L206/100</f>
        <v>0.13058</v>
      </c>
      <c r="O206" s="42">
        <f t="shared" si="11"/>
        <v>-1.637493596E-2</v>
      </c>
      <c r="Q206">
        <v>101</v>
      </c>
      <c r="R206" s="43">
        <v>43645</v>
      </c>
      <c r="S206" s="44">
        <v>0.5</v>
      </c>
      <c r="T206" s="45">
        <v>-157.4</v>
      </c>
      <c r="U206" s="42">
        <v>-1.55</v>
      </c>
      <c r="V206" s="46">
        <f t="shared" si="9"/>
        <v>-1.5740000000000001</v>
      </c>
      <c r="W206" s="42">
        <f t="shared" si="9"/>
        <v>-1.55E-2</v>
      </c>
    </row>
    <row r="207" spans="1:23" x14ac:dyDescent="0.2">
      <c r="A207">
        <v>79</v>
      </c>
      <c r="B207" s="43">
        <v>43644</v>
      </c>
      <c r="C207" s="44">
        <v>0.5</v>
      </c>
      <c r="D207">
        <v>-19.158000000000001</v>
      </c>
      <c r="E207" s="42">
        <v>-2.2157031900000028</v>
      </c>
      <c r="F207" s="42">
        <f t="shared" si="10"/>
        <v>-0.19158</v>
      </c>
      <c r="G207" s="42">
        <f t="shared" si="10"/>
        <v>-2.2157031900000027E-2</v>
      </c>
      <c r="I207">
        <v>82</v>
      </c>
      <c r="J207" s="43">
        <v>43632</v>
      </c>
      <c r="K207" s="44">
        <v>0.5</v>
      </c>
      <c r="L207" s="47">
        <v>12.882999999999999</v>
      </c>
      <c r="M207" s="42">
        <v>-1.637194303</v>
      </c>
      <c r="N207" s="42">
        <f t="shared" si="11"/>
        <v>0.12883</v>
      </c>
      <c r="O207" s="42">
        <f t="shared" si="11"/>
        <v>-1.6371943029999999E-2</v>
      </c>
      <c r="Q207">
        <v>102</v>
      </c>
      <c r="R207" s="43">
        <v>43646</v>
      </c>
      <c r="S207" s="44">
        <v>0.5</v>
      </c>
      <c r="T207" s="45">
        <v>-159</v>
      </c>
      <c r="U207" s="42">
        <v>-1.55</v>
      </c>
      <c r="V207" s="46">
        <f t="shared" si="9"/>
        <v>-1.59</v>
      </c>
      <c r="W207" s="42">
        <f t="shared" si="9"/>
        <v>-1.55E-2</v>
      </c>
    </row>
    <row r="208" spans="1:23" x14ac:dyDescent="0.2">
      <c r="A208">
        <v>80</v>
      </c>
      <c r="B208" s="43">
        <v>43645</v>
      </c>
      <c r="C208" s="44">
        <v>0.5</v>
      </c>
      <c r="D208">
        <v>-20.558</v>
      </c>
      <c r="E208" s="42">
        <v>-2.2164440400000025</v>
      </c>
      <c r="F208" s="42">
        <f t="shared" si="10"/>
        <v>-0.20557999999999998</v>
      </c>
      <c r="G208" s="42">
        <f t="shared" si="10"/>
        <v>-2.2164440400000027E-2</v>
      </c>
      <c r="I208">
        <v>83</v>
      </c>
      <c r="J208" s="43">
        <v>43633</v>
      </c>
      <c r="K208" s="44">
        <v>0.5</v>
      </c>
      <c r="L208" s="47">
        <v>12.007999999999999</v>
      </c>
      <c r="M208" s="42">
        <v>-1.6537910730000001</v>
      </c>
      <c r="N208" s="42">
        <f t="shared" si="11"/>
        <v>0.12007999999999999</v>
      </c>
      <c r="O208" s="42">
        <f t="shared" si="11"/>
        <v>-1.6537910730000001E-2</v>
      </c>
      <c r="Q208">
        <v>103</v>
      </c>
      <c r="R208" s="43">
        <v>43647</v>
      </c>
      <c r="S208" s="44">
        <v>0.5</v>
      </c>
      <c r="T208" s="45">
        <v>-160.20000000000002</v>
      </c>
      <c r="U208" s="42">
        <v>-1.6</v>
      </c>
      <c r="V208" s="46">
        <f t="shared" si="9"/>
        <v>-1.6020000000000001</v>
      </c>
      <c r="W208" s="42">
        <f t="shared" si="9"/>
        <v>-1.6E-2</v>
      </c>
    </row>
    <row r="209" spans="1:23" x14ac:dyDescent="0.2">
      <c r="A209">
        <v>81</v>
      </c>
      <c r="B209" s="43">
        <v>43646</v>
      </c>
      <c r="C209" s="44">
        <v>0.5</v>
      </c>
      <c r="D209">
        <v>-13.558</v>
      </c>
      <c r="E209" s="42">
        <v>-2.1518748000000052</v>
      </c>
      <c r="F209" s="42">
        <f t="shared" si="10"/>
        <v>-0.13558000000000001</v>
      </c>
      <c r="G209" s="42">
        <f t="shared" si="10"/>
        <v>-2.1518748000000053E-2</v>
      </c>
      <c r="I209">
        <v>84</v>
      </c>
      <c r="J209" s="43">
        <v>43634</v>
      </c>
      <c r="K209" s="44">
        <v>0.5</v>
      </c>
      <c r="L209" s="47">
        <v>10.9</v>
      </c>
      <c r="M209" s="42">
        <v>-1.6872047139999999</v>
      </c>
      <c r="N209" s="42">
        <f t="shared" si="11"/>
        <v>0.109</v>
      </c>
      <c r="O209" s="42">
        <f t="shared" si="11"/>
        <v>-1.6872047139999999E-2</v>
      </c>
      <c r="Q209">
        <v>104</v>
      </c>
      <c r="R209" s="43">
        <v>43648</v>
      </c>
      <c r="S209" s="44">
        <v>0.5</v>
      </c>
      <c r="T209" s="45">
        <v>-161.30000000000001</v>
      </c>
      <c r="U209" s="42">
        <v>-1.6</v>
      </c>
      <c r="V209" s="46">
        <f t="shared" si="9"/>
        <v>-1.6130000000000002</v>
      </c>
      <c r="W209" s="42">
        <f t="shared" si="9"/>
        <v>-1.6E-2</v>
      </c>
    </row>
    <row r="210" spans="1:23" x14ac:dyDescent="0.2">
      <c r="A210">
        <v>82</v>
      </c>
      <c r="B210" s="43">
        <v>43647</v>
      </c>
      <c r="C210" s="44">
        <v>0.5</v>
      </c>
      <c r="D210">
        <v>-15.6</v>
      </c>
      <c r="E210" s="42">
        <v>-2.1771690900000031</v>
      </c>
      <c r="F210" s="42">
        <f t="shared" si="10"/>
        <v>-0.156</v>
      </c>
      <c r="G210" s="42">
        <f t="shared" si="10"/>
        <v>-2.1771690900000033E-2</v>
      </c>
      <c r="I210">
        <v>85</v>
      </c>
      <c r="J210" s="43">
        <v>43635</v>
      </c>
      <c r="K210" s="44">
        <v>0.5</v>
      </c>
      <c r="L210" s="47">
        <v>9.6750000000000007</v>
      </c>
      <c r="M210" s="42">
        <v>-1.7203809480000001</v>
      </c>
      <c r="N210" s="42">
        <f t="shared" si="11"/>
        <v>9.6750000000000003E-2</v>
      </c>
      <c r="O210" s="42">
        <f t="shared" si="11"/>
        <v>-1.7203809480000002E-2</v>
      </c>
      <c r="Q210">
        <v>105</v>
      </c>
      <c r="R210" s="43">
        <v>43649</v>
      </c>
      <c r="S210" s="44">
        <v>0.5</v>
      </c>
      <c r="T210" s="45">
        <v>-162.1</v>
      </c>
      <c r="U210" s="42">
        <v>-1.65</v>
      </c>
      <c r="V210" s="46">
        <f t="shared" si="9"/>
        <v>-1.621</v>
      </c>
      <c r="W210" s="42">
        <f t="shared" si="9"/>
        <v>-1.6500000000000001E-2</v>
      </c>
    </row>
    <row r="211" spans="1:23" x14ac:dyDescent="0.2">
      <c r="A211">
        <v>83</v>
      </c>
      <c r="B211" s="43">
        <v>43648</v>
      </c>
      <c r="C211" s="44">
        <v>0.5</v>
      </c>
      <c r="D211">
        <v>-17.233000000000001</v>
      </c>
      <c r="E211" s="42">
        <v>-2.1840441800000043</v>
      </c>
      <c r="F211" s="42">
        <f t="shared" si="10"/>
        <v>-0.17233000000000001</v>
      </c>
      <c r="G211" s="42">
        <f t="shared" si="10"/>
        <v>-2.1840441800000044E-2</v>
      </c>
      <c r="I211">
        <v>86</v>
      </c>
      <c r="J211" s="43">
        <v>43636</v>
      </c>
      <c r="K211" s="44">
        <v>0.5</v>
      </c>
      <c r="L211" s="47">
        <v>12.708</v>
      </c>
      <c r="M211" s="42">
        <v>-1.753608287</v>
      </c>
      <c r="N211" s="42">
        <f t="shared" si="11"/>
        <v>0.12708</v>
      </c>
      <c r="O211" s="42">
        <f t="shared" si="11"/>
        <v>-1.7536082870000001E-2</v>
      </c>
      <c r="Q211">
        <v>106</v>
      </c>
      <c r="R211" s="43">
        <v>43650</v>
      </c>
      <c r="S211" s="44">
        <v>0.5</v>
      </c>
      <c r="T211" s="45">
        <v>-162.79999999999998</v>
      </c>
      <c r="U211" s="42">
        <v>-1.65</v>
      </c>
      <c r="V211" s="46">
        <f t="shared" si="9"/>
        <v>-1.6279999999999999</v>
      </c>
      <c r="W211" s="42">
        <f t="shared" si="9"/>
        <v>-1.6500000000000001E-2</v>
      </c>
    </row>
    <row r="212" spans="1:23" x14ac:dyDescent="0.2">
      <c r="A212">
        <v>84</v>
      </c>
      <c r="B212" s="43">
        <v>43649</v>
      </c>
      <c r="C212" s="44">
        <v>0.5</v>
      </c>
      <c r="D212">
        <v>-18.225000000000001</v>
      </c>
      <c r="E212" s="42">
        <v>-2.1840441800000043</v>
      </c>
      <c r="F212" s="42">
        <f t="shared" si="10"/>
        <v>-0.18225000000000002</v>
      </c>
      <c r="G212" s="42">
        <f t="shared" si="10"/>
        <v>-2.1840441800000044E-2</v>
      </c>
      <c r="I212">
        <v>87</v>
      </c>
      <c r="J212" s="43">
        <v>43637</v>
      </c>
      <c r="K212" s="44">
        <v>0.5</v>
      </c>
      <c r="L212" s="47">
        <v>11.833</v>
      </c>
      <c r="M212" s="42">
        <v>-1.453507025</v>
      </c>
      <c r="N212" s="42">
        <f t="shared" si="11"/>
        <v>0.11833</v>
      </c>
      <c r="O212" s="42">
        <f t="shared" si="11"/>
        <v>-1.4535070249999999E-2</v>
      </c>
      <c r="Q212">
        <v>107</v>
      </c>
      <c r="R212" s="43">
        <v>43651</v>
      </c>
      <c r="S212" s="44">
        <v>0.5</v>
      </c>
      <c r="T212" s="45">
        <v>-164.3</v>
      </c>
      <c r="U212" s="42">
        <v>-1.7</v>
      </c>
      <c r="V212" s="46">
        <f t="shared" si="9"/>
        <v>-1.643</v>
      </c>
      <c r="W212" s="42">
        <f t="shared" si="9"/>
        <v>-1.7000000000000001E-2</v>
      </c>
    </row>
    <row r="213" spans="1:23" x14ac:dyDescent="0.2">
      <c r="A213">
        <v>85</v>
      </c>
      <c r="B213" s="43">
        <v>43650</v>
      </c>
      <c r="C213" s="44">
        <v>0.5</v>
      </c>
      <c r="D213">
        <v>-19.507999999999999</v>
      </c>
      <c r="E213" s="42">
        <v>-2.1840441800000043</v>
      </c>
      <c r="F213" s="42">
        <f t="shared" si="10"/>
        <v>-0.19508</v>
      </c>
      <c r="G213" s="42">
        <f t="shared" si="10"/>
        <v>-2.1840441800000044E-2</v>
      </c>
      <c r="I213">
        <v>88</v>
      </c>
      <c r="J213" s="43">
        <v>43638</v>
      </c>
      <c r="K213" s="44">
        <v>0.5</v>
      </c>
      <c r="L213" s="47">
        <v>10.958</v>
      </c>
      <c r="M213" s="42">
        <v>-1.5245607779999999</v>
      </c>
      <c r="N213" s="42">
        <f t="shared" si="11"/>
        <v>0.10958</v>
      </c>
      <c r="O213" s="42">
        <f t="shared" si="11"/>
        <v>-1.5245607779999998E-2</v>
      </c>
      <c r="Q213">
        <v>108</v>
      </c>
      <c r="R213" s="43">
        <v>43652</v>
      </c>
      <c r="S213" s="44">
        <v>0.5</v>
      </c>
      <c r="T213" s="45">
        <v>-165.5</v>
      </c>
      <c r="U213" s="42">
        <v>-1.7</v>
      </c>
      <c r="V213" s="46">
        <f t="shared" si="9"/>
        <v>-1.655</v>
      </c>
      <c r="W213" s="42">
        <f t="shared" si="9"/>
        <v>-1.7000000000000001E-2</v>
      </c>
    </row>
    <row r="214" spans="1:23" x14ac:dyDescent="0.2">
      <c r="A214">
        <v>86</v>
      </c>
      <c r="B214" s="43">
        <v>43651</v>
      </c>
      <c r="C214" s="44">
        <v>0.5</v>
      </c>
      <c r="D214">
        <v>-21.608000000000001</v>
      </c>
      <c r="E214" s="42">
        <v>-2.1840441800000043</v>
      </c>
      <c r="F214" s="42">
        <f t="shared" si="10"/>
        <v>-0.21607999999999999</v>
      </c>
      <c r="G214" s="42">
        <f t="shared" si="10"/>
        <v>-2.1840441800000044E-2</v>
      </c>
      <c r="I214">
        <v>89</v>
      </c>
      <c r="J214" s="43">
        <v>43639</v>
      </c>
      <c r="K214" s="44">
        <v>0.5</v>
      </c>
      <c r="L214" s="47">
        <v>11.657999999999999</v>
      </c>
      <c r="M214" s="42">
        <v>-1.5410223409999999</v>
      </c>
      <c r="N214" s="42">
        <f t="shared" si="11"/>
        <v>0.11657999999999999</v>
      </c>
      <c r="O214" s="42">
        <f t="shared" si="11"/>
        <v>-1.541022341E-2</v>
      </c>
      <c r="Q214">
        <v>109</v>
      </c>
      <c r="R214" s="43">
        <v>43653</v>
      </c>
      <c r="S214" s="44">
        <v>0.5</v>
      </c>
      <c r="T214" s="45">
        <v>-166.79999999999998</v>
      </c>
      <c r="U214" s="42">
        <v>-1.75</v>
      </c>
      <c r="V214" s="46">
        <f t="shared" si="9"/>
        <v>-1.6679999999999999</v>
      </c>
      <c r="W214" s="42">
        <f t="shared" si="9"/>
        <v>-1.7500000000000002E-2</v>
      </c>
    </row>
    <row r="215" spans="1:23" x14ac:dyDescent="0.2">
      <c r="A215">
        <v>87</v>
      </c>
      <c r="B215" s="43">
        <v>43652</v>
      </c>
      <c r="C215" s="44">
        <v>0.5</v>
      </c>
      <c r="D215">
        <v>-23.475000000000001</v>
      </c>
      <c r="E215" s="42">
        <v>-2.2164440400000025</v>
      </c>
      <c r="F215" s="42">
        <f t="shared" si="10"/>
        <v>-0.23475000000000001</v>
      </c>
      <c r="G215" s="42">
        <f t="shared" si="10"/>
        <v>-2.2164440400000027E-2</v>
      </c>
      <c r="I215">
        <v>90</v>
      </c>
      <c r="J215" s="43">
        <v>43640</v>
      </c>
      <c r="K215" s="44">
        <v>0.5</v>
      </c>
      <c r="L215" s="47">
        <v>10.083</v>
      </c>
      <c r="M215" s="42">
        <v>-1.5233583150000001</v>
      </c>
      <c r="N215" s="42">
        <f t="shared" si="11"/>
        <v>0.10083</v>
      </c>
      <c r="O215" s="42">
        <f t="shared" si="11"/>
        <v>-1.523358315E-2</v>
      </c>
      <c r="Q215">
        <v>110</v>
      </c>
      <c r="R215" s="43">
        <v>43654</v>
      </c>
      <c r="S215" s="44">
        <v>0.5</v>
      </c>
      <c r="T215" s="45">
        <v>-168.70000000000002</v>
      </c>
      <c r="U215" s="42">
        <v>-1.8</v>
      </c>
      <c r="V215" s="46">
        <f t="shared" si="9"/>
        <v>-1.6870000000000003</v>
      </c>
      <c r="W215" s="42">
        <f t="shared" si="9"/>
        <v>-1.8000000000000002E-2</v>
      </c>
    </row>
    <row r="216" spans="1:23" x14ac:dyDescent="0.2">
      <c r="A216">
        <v>88</v>
      </c>
      <c r="B216" s="43">
        <v>43653</v>
      </c>
      <c r="C216" s="44">
        <v>0.5</v>
      </c>
      <c r="D216">
        <v>-24.058</v>
      </c>
      <c r="E216" s="42">
        <v>-2.2488439000000042</v>
      </c>
      <c r="F216" s="42">
        <f t="shared" si="10"/>
        <v>-0.24057999999999999</v>
      </c>
      <c r="G216" s="42">
        <f t="shared" si="10"/>
        <v>-2.2488439000000041E-2</v>
      </c>
      <c r="I216">
        <v>91</v>
      </c>
      <c r="J216" s="43">
        <v>43641</v>
      </c>
      <c r="K216" s="44">
        <v>0.5</v>
      </c>
      <c r="L216" s="47">
        <v>10.141999999999999</v>
      </c>
      <c r="M216" s="42">
        <v>-1.5243933460000001</v>
      </c>
      <c r="N216" s="42">
        <f t="shared" si="11"/>
        <v>0.10142</v>
      </c>
      <c r="O216" s="42">
        <f t="shared" si="11"/>
        <v>-1.5243933460000001E-2</v>
      </c>
      <c r="Q216">
        <v>111</v>
      </c>
      <c r="R216" s="43">
        <v>43655</v>
      </c>
      <c r="S216" s="44">
        <v>0.5</v>
      </c>
      <c r="T216" s="45">
        <v>-170.2</v>
      </c>
      <c r="U216" s="42">
        <v>-1.8</v>
      </c>
      <c r="V216" s="46">
        <f t="shared" si="9"/>
        <v>-1.702</v>
      </c>
      <c r="W216" s="42">
        <f t="shared" si="9"/>
        <v>-1.8000000000000002E-2</v>
      </c>
    </row>
    <row r="217" spans="1:23" x14ac:dyDescent="0.2">
      <c r="A217">
        <v>89</v>
      </c>
      <c r="B217" s="43">
        <v>43654</v>
      </c>
      <c r="C217" s="44">
        <v>0.5</v>
      </c>
      <c r="D217">
        <v>-25.108000000000001</v>
      </c>
      <c r="E217" s="42">
        <v>-2.2486243900000034</v>
      </c>
      <c r="F217" s="42">
        <f t="shared" si="10"/>
        <v>-0.25108000000000003</v>
      </c>
      <c r="G217" s="42">
        <f t="shared" si="10"/>
        <v>-2.2486243900000032E-2</v>
      </c>
      <c r="I217">
        <v>92</v>
      </c>
      <c r="J217" s="43">
        <v>43642</v>
      </c>
      <c r="K217" s="44">
        <v>0.5</v>
      </c>
      <c r="L217" s="47">
        <v>9.7919999999999998</v>
      </c>
      <c r="M217" s="42">
        <v>-1.5243343650000001</v>
      </c>
      <c r="N217" s="42">
        <f t="shared" si="11"/>
        <v>9.7919999999999993E-2</v>
      </c>
      <c r="O217" s="42">
        <f t="shared" si="11"/>
        <v>-1.5243343650000001E-2</v>
      </c>
      <c r="Q217">
        <v>112</v>
      </c>
      <c r="R217" s="43">
        <v>43656</v>
      </c>
      <c r="S217" s="44">
        <v>0.5</v>
      </c>
      <c r="T217" s="45">
        <v>-171.70000000000002</v>
      </c>
      <c r="U217" s="42">
        <v>-1.85</v>
      </c>
      <c r="V217" s="46">
        <f t="shared" si="9"/>
        <v>-1.7170000000000001</v>
      </c>
      <c r="W217" s="42">
        <f t="shared" si="9"/>
        <v>-1.8500000000000003E-2</v>
      </c>
    </row>
    <row r="218" spans="1:23" x14ac:dyDescent="0.2">
      <c r="A218">
        <v>90</v>
      </c>
      <c r="B218" s="43">
        <v>43655</v>
      </c>
      <c r="C218" s="44">
        <v>0.5</v>
      </c>
      <c r="D218">
        <v>-17</v>
      </c>
      <c r="E218" s="42">
        <v>-2.2164440400000025</v>
      </c>
      <c r="F218" s="42">
        <f t="shared" si="10"/>
        <v>-0.17</v>
      </c>
      <c r="G218" s="42">
        <f t="shared" si="10"/>
        <v>-2.2164440400000027E-2</v>
      </c>
      <c r="I218">
        <v>93</v>
      </c>
      <c r="J218" s="43">
        <v>43643</v>
      </c>
      <c r="K218" s="44">
        <v>0.5</v>
      </c>
      <c r="L218" s="47">
        <v>8.3919999999999995</v>
      </c>
      <c r="M218" s="42">
        <v>-1.5739348120000001</v>
      </c>
      <c r="N218" s="42">
        <f t="shared" si="11"/>
        <v>8.3919999999999995E-2</v>
      </c>
      <c r="O218" s="42">
        <f t="shared" si="11"/>
        <v>-1.573934812E-2</v>
      </c>
      <c r="Q218">
        <v>113</v>
      </c>
      <c r="R218" s="43">
        <v>43657</v>
      </c>
      <c r="S218" s="44">
        <v>0.5</v>
      </c>
      <c r="T218" s="45">
        <v>-173.3</v>
      </c>
      <c r="U218" s="42">
        <v>-1.9</v>
      </c>
      <c r="V218" s="46">
        <f t="shared" si="9"/>
        <v>-1.7330000000000001</v>
      </c>
      <c r="W218" s="42">
        <f t="shared" si="9"/>
        <v>-1.9E-2</v>
      </c>
    </row>
    <row r="219" spans="1:23" x14ac:dyDescent="0.2">
      <c r="A219">
        <v>91</v>
      </c>
      <c r="B219" s="43">
        <v>43656</v>
      </c>
      <c r="C219" s="44">
        <v>0.5</v>
      </c>
      <c r="D219">
        <v>-17.757999999999999</v>
      </c>
      <c r="E219" s="42">
        <v>-2.1840441800000043</v>
      </c>
      <c r="F219" s="42">
        <f t="shared" si="10"/>
        <v>-0.17757999999999999</v>
      </c>
      <c r="G219" s="42">
        <f t="shared" si="10"/>
        <v>-2.1840441800000044E-2</v>
      </c>
      <c r="I219">
        <v>94</v>
      </c>
      <c r="J219" s="43">
        <v>43644</v>
      </c>
      <c r="K219" s="44">
        <v>0.5</v>
      </c>
      <c r="L219" s="47">
        <v>7.75</v>
      </c>
      <c r="M219" s="42">
        <v>-1.64107739</v>
      </c>
      <c r="N219" s="42">
        <f t="shared" si="11"/>
        <v>7.7499999999999999E-2</v>
      </c>
      <c r="O219" s="42">
        <f t="shared" si="11"/>
        <v>-1.6410773899999998E-2</v>
      </c>
      <c r="Q219">
        <v>114</v>
      </c>
      <c r="R219" s="43">
        <v>43658</v>
      </c>
      <c r="S219" s="44">
        <v>0.5</v>
      </c>
      <c r="T219" s="45">
        <v>-175.2</v>
      </c>
      <c r="U219" s="42">
        <v>-1.95</v>
      </c>
      <c r="V219" s="46">
        <f t="shared" si="9"/>
        <v>-1.7519999999999998</v>
      </c>
      <c r="W219" s="42">
        <f t="shared" si="9"/>
        <v>-1.95E-2</v>
      </c>
    </row>
    <row r="220" spans="1:23" x14ac:dyDescent="0.2">
      <c r="A220">
        <v>92</v>
      </c>
      <c r="B220" s="43">
        <v>43657</v>
      </c>
      <c r="C220" s="44">
        <v>0.5</v>
      </c>
      <c r="D220">
        <v>-18.341999999999999</v>
      </c>
      <c r="E220" s="42">
        <v>-2.1970041200000026</v>
      </c>
      <c r="F220" s="42">
        <f t="shared" si="10"/>
        <v>-0.18342</v>
      </c>
      <c r="G220" s="42">
        <f t="shared" si="10"/>
        <v>-2.1970041200000026E-2</v>
      </c>
      <c r="I220">
        <v>95</v>
      </c>
      <c r="J220" s="43">
        <v>43645</v>
      </c>
      <c r="K220" s="44">
        <v>0.5</v>
      </c>
      <c r="L220" s="47">
        <v>6.7</v>
      </c>
      <c r="M220" s="42">
        <v>-1.6702445260000001</v>
      </c>
      <c r="N220" s="42">
        <f t="shared" si="11"/>
        <v>6.7000000000000004E-2</v>
      </c>
      <c r="O220" s="42">
        <f t="shared" si="11"/>
        <v>-1.670244526E-2</v>
      </c>
      <c r="Q220">
        <v>115</v>
      </c>
      <c r="R220" s="43">
        <v>43659</v>
      </c>
      <c r="S220" s="44">
        <v>0.5</v>
      </c>
      <c r="T220" s="45">
        <v>-176.89999999999998</v>
      </c>
      <c r="U220" s="42">
        <v>-1.95</v>
      </c>
      <c r="V220" s="46">
        <f t="shared" si="9"/>
        <v>-1.7689999999999997</v>
      </c>
      <c r="W220" s="42">
        <f t="shared" si="9"/>
        <v>-1.95E-2</v>
      </c>
    </row>
    <row r="221" spans="1:23" x14ac:dyDescent="0.2">
      <c r="A221">
        <v>93</v>
      </c>
      <c r="B221" s="43">
        <v>43658</v>
      </c>
      <c r="C221" s="44">
        <v>0.5</v>
      </c>
      <c r="D221">
        <v>-17.817</v>
      </c>
      <c r="E221" s="42">
        <v>-2.1752198300000032</v>
      </c>
      <c r="F221" s="42">
        <f t="shared" si="10"/>
        <v>-0.17817</v>
      </c>
      <c r="G221" s="42">
        <f t="shared" si="10"/>
        <v>-2.1752198300000032E-2</v>
      </c>
      <c r="I221">
        <v>96</v>
      </c>
      <c r="J221" s="43">
        <v>43646</v>
      </c>
      <c r="K221" s="44">
        <v>0.5</v>
      </c>
      <c r="L221" s="47">
        <v>5.65</v>
      </c>
      <c r="M221" s="42">
        <v>-1.703647473</v>
      </c>
      <c r="N221" s="42">
        <f t="shared" si="11"/>
        <v>5.6500000000000002E-2</v>
      </c>
      <c r="O221" s="42">
        <f t="shared" si="11"/>
        <v>-1.7036474730000001E-2</v>
      </c>
      <c r="Q221">
        <v>116</v>
      </c>
      <c r="R221" s="43">
        <v>43660</v>
      </c>
      <c r="S221" s="44">
        <v>0.5</v>
      </c>
      <c r="T221" s="45">
        <v>-177.4</v>
      </c>
      <c r="U221" s="42">
        <v>-2</v>
      </c>
      <c r="V221" s="46">
        <f t="shared" si="9"/>
        <v>-1.774</v>
      </c>
      <c r="W221" s="42">
        <f t="shared" si="9"/>
        <v>-0.02</v>
      </c>
    </row>
    <row r="222" spans="1:23" x14ac:dyDescent="0.2">
      <c r="A222">
        <v>94</v>
      </c>
      <c r="B222" s="43">
        <v>43659</v>
      </c>
      <c r="C222" s="44">
        <v>0.5</v>
      </c>
      <c r="D222">
        <v>-18.341999999999999</v>
      </c>
      <c r="E222" s="42">
        <v>-2.1840441800000043</v>
      </c>
      <c r="F222" s="42">
        <f t="shared" si="10"/>
        <v>-0.18342</v>
      </c>
      <c r="G222" s="42">
        <f t="shared" si="10"/>
        <v>-2.1840441800000044E-2</v>
      </c>
      <c r="I222">
        <v>97</v>
      </c>
      <c r="J222" s="43">
        <v>43647</v>
      </c>
      <c r="K222" s="44">
        <v>0.5</v>
      </c>
      <c r="L222" s="47">
        <v>4.6580000000000004</v>
      </c>
      <c r="M222" s="42">
        <v>-1.741058011</v>
      </c>
      <c r="N222" s="42">
        <f t="shared" si="11"/>
        <v>4.6580000000000003E-2</v>
      </c>
      <c r="O222" s="42">
        <f t="shared" si="11"/>
        <v>-1.7410580110000001E-2</v>
      </c>
      <c r="Q222">
        <v>117</v>
      </c>
      <c r="R222" s="43">
        <v>43661</v>
      </c>
      <c r="S222" s="44">
        <v>0.5</v>
      </c>
      <c r="T222" s="45">
        <v>-178.4</v>
      </c>
      <c r="U222" s="42">
        <v>-2</v>
      </c>
      <c r="V222" s="46">
        <f t="shared" si="9"/>
        <v>-1.784</v>
      </c>
      <c r="W222" s="42">
        <f t="shared" si="9"/>
        <v>-0.02</v>
      </c>
    </row>
    <row r="223" spans="1:23" x14ac:dyDescent="0.2">
      <c r="A223">
        <v>95</v>
      </c>
      <c r="B223" s="43">
        <v>43660</v>
      </c>
      <c r="C223" s="44">
        <v>0.5</v>
      </c>
      <c r="D223">
        <v>-19.683</v>
      </c>
      <c r="E223" s="42">
        <v>-2.2164440400000025</v>
      </c>
      <c r="F223" s="42">
        <f t="shared" si="10"/>
        <v>-0.19683</v>
      </c>
      <c r="G223" s="42">
        <f t="shared" si="10"/>
        <v>-2.2164440400000027E-2</v>
      </c>
      <c r="I223">
        <v>98</v>
      </c>
      <c r="J223" s="43">
        <v>43648</v>
      </c>
      <c r="K223" s="44">
        <v>0.5</v>
      </c>
      <c r="L223" s="47">
        <v>3.6669999999999998</v>
      </c>
      <c r="M223" s="42">
        <v>-1.7915005930000001</v>
      </c>
      <c r="N223" s="42">
        <f t="shared" si="11"/>
        <v>3.6670000000000001E-2</v>
      </c>
      <c r="O223" s="42">
        <f t="shared" si="11"/>
        <v>-1.7915005930000002E-2</v>
      </c>
      <c r="Q223">
        <v>118</v>
      </c>
      <c r="R223" s="43">
        <v>43662</v>
      </c>
      <c r="S223" s="44">
        <v>0.5</v>
      </c>
      <c r="T223" s="45">
        <v>-179.20000000000002</v>
      </c>
      <c r="U223" s="42">
        <v>-2.0499999999999998</v>
      </c>
      <c r="V223" s="46">
        <f t="shared" si="9"/>
        <v>-1.7920000000000003</v>
      </c>
      <c r="W223" s="42">
        <f t="shared" si="9"/>
        <v>-2.0499999999999997E-2</v>
      </c>
    </row>
    <row r="224" spans="1:23" x14ac:dyDescent="0.2">
      <c r="A224">
        <v>96</v>
      </c>
      <c r="B224" s="43">
        <v>43661</v>
      </c>
      <c r="C224" s="44">
        <v>0.5</v>
      </c>
      <c r="D224">
        <v>-22.074999999999999</v>
      </c>
      <c r="E224" s="42">
        <v>-2.2164440400000025</v>
      </c>
      <c r="F224" s="42">
        <f t="shared" si="10"/>
        <v>-0.22075</v>
      </c>
      <c r="G224" s="42">
        <f t="shared" si="10"/>
        <v>-2.2164440400000027E-2</v>
      </c>
      <c r="I224">
        <v>99</v>
      </c>
      <c r="J224" s="43">
        <v>43649</v>
      </c>
      <c r="K224" s="44">
        <v>0.5</v>
      </c>
      <c r="L224" s="47">
        <v>3.2</v>
      </c>
      <c r="M224" s="42">
        <v>-1.8421103700000001</v>
      </c>
      <c r="N224" s="42">
        <f t="shared" si="11"/>
        <v>3.2000000000000001E-2</v>
      </c>
      <c r="O224" s="42">
        <f t="shared" si="11"/>
        <v>-1.84211037E-2</v>
      </c>
      <c r="Q224">
        <v>119</v>
      </c>
      <c r="R224" s="43">
        <v>43663</v>
      </c>
      <c r="S224" s="44">
        <v>0.5</v>
      </c>
      <c r="T224" s="45">
        <v>-180.6</v>
      </c>
      <c r="U224" s="42">
        <v>-2.0499999999999998</v>
      </c>
      <c r="V224" s="46">
        <f t="shared" si="9"/>
        <v>-1.806</v>
      </c>
      <c r="W224" s="42">
        <f t="shared" si="9"/>
        <v>-2.0499999999999997E-2</v>
      </c>
    </row>
    <row r="225" spans="1:23" x14ac:dyDescent="0.2">
      <c r="A225">
        <v>97</v>
      </c>
      <c r="B225" s="43">
        <v>43662</v>
      </c>
      <c r="C225" s="44">
        <v>0.5</v>
      </c>
      <c r="D225">
        <v>-23.417000000000002</v>
      </c>
      <c r="E225" s="42">
        <v>-2.2157031900000028</v>
      </c>
      <c r="F225" s="42">
        <f t="shared" si="10"/>
        <v>-0.23417000000000002</v>
      </c>
      <c r="G225" s="42">
        <f t="shared" si="10"/>
        <v>-2.2157031900000027E-2</v>
      </c>
      <c r="I225">
        <v>100</v>
      </c>
      <c r="J225" s="43">
        <v>43650</v>
      </c>
      <c r="K225" s="44">
        <v>0.5</v>
      </c>
      <c r="L225" s="47">
        <v>1.8</v>
      </c>
      <c r="M225" s="42">
        <v>-1.875421148</v>
      </c>
      <c r="N225" s="42">
        <f t="shared" si="11"/>
        <v>1.8000000000000002E-2</v>
      </c>
      <c r="O225" s="42">
        <f t="shared" si="11"/>
        <v>-1.8754211480000001E-2</v>
      </c>
      <c r="Q225">
        <v>120</v>
      </c>
      <c r="R225" s="43">
        <v>43664</v>
      </c>
      <c r="S225" s="44">
        <v>0.5</v>
      </c>
      <c r="T225" s="45">
        <v>-181.8</v>
      </c>
      <c r="U225" s="42">
        <v>-2</v>
      </c>
      <c r="V225" s="46">
        <f t="shared" si="9"/>
        <v>-1.8180000000000001</v>
      </c>
      <c r="W225" s="42">
        <f t="shared" si="9"/>
        <v>-0.02</v>
      </c>
    </row>
    <row r="226" spans="1:23" x14ac:dyDescent="0.2">
      <c r="A226">
        <v>98</v>
      </c>
      <c r="B226" s="43">
        <v>43663</v>
      </c>
      <c r="C226" s="44">
        <v>0.5</v>
      </c>
      <c r="D226">
        <v>-25.283000000000001</v>
      </c>
      <c r="E226" s="42">
        <v>-2.2164440400000025</v>
      </c>
      <c r="F226" s="42">
        <f t="shared" si="10"/>
        <v>-0.25283</v>
      </c>
      <c r="G226" s="42">
        <f t="shared" si="10"/>
        <v>-2.2164440400000027E-2</v>
      </c>
      <c r="I226">
        <v>101</v>
      </c>
      <c r="J226" s="43">
        <v>43651</v>
      </c>
      <c r="K226" s="44">
        <v>0.5</v>
      </c>
      <c r="L226" s="47">
        <v>0.80800000000000005</v>
      </c>
      <c r="M226" s="42">
        <v>-1.942724967</v>
      </c>
      <c r="N226" s="42">
        <f t="shared" si="11"/>
        <v>8.0800000000000004E-3</v>
      </c>
      <c r="O226" s="42">
        <f t="shared" si="11"/>
        <v>-1.9427249670000001E-2</v>
      </c>
      <c r="Q226">
        <v>121</v>
      </c>
      <c r="R226" s="43">
        <v>43665</v>
      </c>
      <c r="S226" s="44">
        <v>0.5</v>
      </c>
      <c r="T226" s="45">
        <v>-183.4</v>
      </c>
      <c r="U226" s="42">
        <v>-2.1</v>
      </c>
      <c r="V226" s="46">
        <f t="shared" si="9"/>
        <v>-1.8340000000000001</v>
      </c>
      <c r="W226" s="42">
        <f t="shared" si="9"/>
        <v>-2.1000000000000001E-2</v>
      </c>
    </row>
    <row r="227" spans="1:23" x14ac:dyDescent="0.2">
      <c r="A227">
        <v>99</v>
      </c>
      <c r="B227" s="43">
        <v>43664</v>
      </c>
      <c r="C227" s="44">
        <v>0.5</v>
      </c>
      <c r="D227">
        <v>-26.858000000000001</v>
      </c>
      <c r="E227" s="42">
        <v>-2.2164440400000025</v>
      </c>
      <c r="F227" s="42">
        <f t="shared" si="10"/>
        <v>-0.26857999999999999</v>
      </c>
      <c r="G227" s="42">
        <f t="shared" si="10"/>
        <v>-2.2164440400000027E-2</v>
      </c>
      <c r="I227">
        <v>102</v>
      </c>
      <c r="J227" s="43">
        <v>43652</v>
      </c>
      <c r="K227" s="44">
        <v>0.5</v>
      </c>
      <c r="L227" s="47">
        <v>5.883</v>
      </c>
      <c r="M227" s="42">
        <v>-2.0099447669999999</v>
      </c>
      <c r="N227" s="42">
        <f t="shared" si="11"/>
        <v>5.883E-2</v>
      </c>
      <c r="O227" s="42">
        <f t="shared" si="11"/>
        <v>-2.0099447669999999E-2</v>
      </c>
      <c r="Q227">
        <v>122</v>
      </c>
      <c r="R227" s="43">
        <v>43666</v>
      </c>
      <c r="S227" s="44">
        <v>0.5</v>
      </c>
      <c r="T227" s="45">
        <v>-185.1</v>
      </c>
      <c r="U227" s="42">
        <v>-2.1</v>
      </c>
      <c r="V227" s="46">
        <f t="shared" si="9"/>
        <v>-1.851</v>
      </c>
      <c r="W227" s="42">
        <f t="shared" si="9"/>
        <v>-2.1000000000000001E-2</v>
      </c>
    </row>
    <row r="228" spans="1:23" x14ac:dyDescent="0.2">
      <c r="A228">
        <v>100</v>
      </c>
      <c r="B228" s="43">
        <v>43665</v>
      </c>
      <c r="C228" s="44">
        <v>0.5</v>
      </c>
      <c r="D228">
        <v>-27.5</v>
      </c>
      <c r="E228" s="42">
        <v>-2.2488439000000042</v>
      </c>
      <c r="F228" s="42">
        <f t="shared" si="10"/>
        <v>-0.27500000000000002</v>
      </c>
      <c r="G228" s="42">
        <f t="shared" si="10"/>
        <v>-2.2488439000000041E-2</v>
      </c>
      <c r="I228">
        <v>103</v>
      </c>
      <c r="J228" s="43">
        <v>43653</v>
      </c>
      <c r="K228" s="44">
        <v>0.5</v>
      </c>
      <c r="L228" s="47">
        <v>4.3079999999999998</v>
      </c>
      <c r="M228" s="42">
        <v>-1.8763800740000001</v>
      </c>
      <c r="N228" s="42">
        <f t="shared" si="11"/>
        <v>4.308E-2</v>
      </c>
      <c r="O228" s="42">
        <f t="shared" si="11"/>
        <v>-1.8763800739999999E-2</v>
      </c>
      <c r="Q228">
        <v>123</v>
      </c>
      <c r="R228" s="43">
        <v>43667</v>
      </c>
      <c r="S228" s="44">
        <v>0.5</v>
      </c>
      <c r="T228" s="45">
        <v>-185.9</v>
      </c>
      <c r="U228" s="42">
        <v>-2.1</v>
      </c>
      <c r="V228" s="46">
        <f t="shared" si="9"/>
        <v>-1.859</v>
      </c>
      <c r="W228" s="42">
        <f t="shared" si="9"/>
        <v>-2.1000000000000001E-2</v>
      </c>
    </row>
    <row r="229" spans="1:23" x14ac:dyDescent="0.2">
      <c r="A229">
        <v>101</v>
      </c>
      <c r="B229" s="43">
        <v>43666</v>
      </c>
      <c r="C229" s="44">
        <v>0.5</v>
      </c>
      <c r="D229">
        <v>-29.016999999999999</v>
      </c>
      <c r="E229" s="42">
        <v>-2.2811026500000047</v>
      </c>
      <c r="F229" s="42">
        <f t="shared" si="10"/>
        <v>-0.29016999999999998</v>
      </c>
      <c r="G229" s="42">
        <f t="shared" si="10"/>
        <v>-2.2811026500000046E-2</v>
      </c>
      <c r="I229">
        <v>104</v>
      </c>
      <c r="J229" s="43">
        <v>43654</v>
      </c>
      <c r="K229" s="44">
        <v>0.5</v>
      </c>
      <c r="L229" s="47">
        <v>16.442</v>
      </c>
      <c r="M229" s="42">
        <v>-1.9093640839999999</v>
      </c>
      <c r="N229" s="42">
        <f t="shared" si="11"/>
        <v>0.16442000000000001</v>
      </c>
      <c r="O229" s="42">
        <f t="shared" si="11"/>
        <v>-1.9093640839999999E-2</v>
      </c>
      <c r="Q229">
        <v>124</v>
      </c>
      <c r="R229" s="43">
        <v>43668</v>
      </c>
      <c r="S229" s="44">
        <v>0.5</v>
      </c>
      <c r="T229" s="45">
        <v>-186.1</v>
      </c>
      <c r="U229" s="42">
        <v>-2.2999999999999998</v>
      </c>
      <c r="V229" s="46">
        <f t="shared" si="9"/>
        <v>-1.861</v>
      </c>
      <c r="W229" s="42">
        <f t="shared" si="9"/>
        <v>-2.3E-2</v>
      </c>
    </row>
    <row r="230" spans="1:23" x14ac:dyDescent="0.2">
      <c r="A230">
        <v>102</v>
      </c>
      <c r="B230" s="43">
        <v>43667</v>
      </c>
      <c r="C230" s="44">
        <v>0.5</v>
      </c>
      <c r="D230">
        <v>-30.65</v>
      </c>
      <c r="E230" s="42">
        <v>-2.2812437600000024</v>
      </c>
      <c r="F230" s="42">
        <f t="shared" si="10"/>
        <v>-0.30649999999999999</v>
      </c>
      <c r="G230" s="42">
        <f t="shared" si="10"/>
        <v>-2.2812437600000023E-2</v>
      </c>
      <c r="I230">
        <v>105</v>
      </c>
      <c r="J230" s="43">
        <v>43655</v>
      </c>
      <c r="K230" s="44">
        <v>0.5</v>
      </c>
      <c r="L230" s="47">
        <v>11.717000000000001</v>
      </c>
      <c r="M230" s="42">
        <v>-1.540345004</v>
      </c>
      <c r="N230" s="42">
        <f t="shared" si="11"/>
        <v>0.11717000000000001</v>
      </c>
      <c r="O230" s="42">
        <f t="shared" si="11"/>
        <v>-1.5403450039999999E-2</v>
      </c>
      <c r="Q230">
        <v>125</v>
      </c>
      <c r="R230" s="43">
        <v>43669</v>
      </c>
      <c r="S230" s="44">
        <v>0.5</v>
      </c>
      <c r="T230" s="45">
        <v>-186.60000000000002</v>
      </c>
      <c r="U230" s="42">
        <v>-2.2999999999999998</v>
      </c>
      <c r="V230" s="46">
        <f t="shared" si="9"/>
        <v>-1.8660000000000003</v>
      </c>
      <c r="W230" s="42">
        <f t="shared" si="9"/>
        <v>-2.3E-2</v>
      </c>
    </row>
    <row r="231" spans="1:23" x14ac:dyDescent="0.2">
      <c r="A231">
        <v>103</v>
      </c>
      <c r="B231" s="43">
        <v>43668</v>
      </c>
      <c r="C231" s="44">
        <v>0.5</v>
      </c>
      <c r="D231">
        <v>-31.933</v>
      </c>
      <c r="E231" s="42">
        <v>-2.3157031900000042</v>
      </c>
      <c r="F231" s="42">
        <f t="shared" si="10"/>
        <v>-0.31933</v>
      </c>
      <c r="G231" s="42">
        <f t="shared" si="10"/>
        <v>-2.3157031900000041E-2</v>
      </c>
      <c r="I231">
        <v>106</v>
      </c>
      <c r="J231" s="43">
        <v>43656</v>
      </c>
      <c r="K231" s="44">
        <v>0.5</v>
      </c>
      <c r="L231" s="47">
        <v>11.6</v>
      </c>
      <c r="M231" s="42">
        <v>-1.573803404</v>
      </c>
      <c r="N231" s="42">
        <f t="shared" si="11"/>
        <v>0.11599999999999999</v>
      </c>
      <c r="O231" s="42">
        <f t="shared" si="11"/>
        <v>-1.5738034040000001E-2</v>
      </c>
      <c r="Q231">
        <v>126</v>
      </c>
      <c r="R231" s="43">
        <v>43670</v>
      </c>
      <c r="S231" s="44">
        <v>0.5</v>
      </c>
      <c r="T231" s="45">
        <v>-187.4</v>
      </c>
      <c r="U231" s="42">
        <v>-2.4</v>
      </c>
      <c r="V231" s="46">
        <f t="shared" si="9"/>
        <v>-1.8740000000000001</v>
      </c>
      <c r="W231" s="42">
        <f t="shared" si="9"/>
        <v>-2.4E-2</v>
      </c>
    </row>
    <row r="232" spans="1:23" x14ac:dyDescent="0.2">
      <c r="A232">
        <v>104</v>
      </c>
      <c r="B232" s="43">
        <v>43669</v>
      </c>
      <c r="C232" s="44">
        <v>0.5</v>
      </c>
      <c r="D232">
        <v>-32.575000000000003</v>
      </c>
      <c r="E232" s="42">
        <v>-2.365703190000005</v>
      </c>
      <c r="F232" s="42">
        <f t="shared" si="10"/>
        <v>-0.32575000000000004</v>
      </c>
      <c r="G232" s="42">
        <f t="shared" si="10"/>
        <v>-2.3657031900000049E-2</v>
      </c>
      <c r="I232">
        <v>107</v>
      </c>
      <c r="J232" s="43">
        <v>43657</v>
      </c>
      <c r="K232" s="44">
        <v>0.5</v>
      </c>
      <c r="L232" s="47">
        <v>10.492000000000001</v>
      </c>
      <c r="M232" s="42">
        <v>-1.5740520140000001</v>
      </c>
      <c r="N232" s="42">
        <f t="shared" si="11"/>
        <v>0.10492000000000001</v>
      </c>
      <c r="O232" s="42">
        <f t="shared" si="11"/>
        <v>-1.5740520140000002E-2</v>
      </c>
      <c r="Q232">
        <v>127</v>
      </c>
      <c r="R232" s="43">
        <v>43671</v>
      </c>
      <c r="S232" s="44">
        <v>0.5</v>
      </c>
      <c r="T232" s="45">
        <v>-188</v>
      </c>
      <c r="U232" s="42">
        <v>-2.35</v>
      </c>
      <c r="V232" s="46">
        <f t="shared" si="9"/>
        <v>-1.88</v>
      </c>
      <c r="W232" s="42">
        <f t="shared" si="9"/>
        <v>-2.35E-2</v>
      </c>
    </row>
    <row r="233" spans="1:23" x14ac:dyDescent="0.2">
      <c r="A233">
        <v>105</v>
      </c>
      <c r="B233" s="43">
        <v>43670</v>
      </c>
      <c r="C233" s="44">
        <v>0.5</v>
      </c>
      <c r="D233">
        <v>-33.567</v>
      </c>
      <c r="E233" s="42">
        <v>-2.365703190000005</v>
      </c>
      <c r="F233" s="42">
        <f t="shared" si="10"/>
        <v>-0.33567000000000002</v>
      </c>
      <c r="G233" s="42">
        <f t="shared" si="10"/>
        <v>-2.3657031900000049E-2</v>
      </c>
      <c r="I233">
        <v>108</v>
      </c>
      <c r="J233" s="43">
        <v>43658</v>
      </c>
      <c r="K233" s="44">
        <v>0.5</v>
      </c>
      <c r="L233" s="47">
        <v>8.9749999999999996</v>
      </c>
      <c r="M233" s="42">
        <v>-1.6035070250000001</v>
      </c>
      <c r="N233" s="42">
        <f t="shared" si="11"/>
        <v>8.9749999999999996E-2</v>
      </c>
      <c r="O233" s="42">
        <f t="shared" si="11"/>
        <v>-1.6035070250000002E-2</v>
      </c>
      <c r="Q233">
        <v>128</v>
      </c>
      <c r="R233" s="43">
        <v>43672</v>
      </c>
      <c r="S233" s="44">
        <v>0.5</v>
      </c>
      <c r="T233" s="45">
        <v>-188.6</v>
      </c>
      <c r="U233" s="42">
        <v>-2.35</v>
      </c>
      <c r="V233" s="46">
        <f t="shared" si="9"/>
        <v>-1.8859999999999999</v>
      </c>
      <c r="W233" s="42">
        <f t="shared" si="9"/>
        <v>-2.35E-2</v>
      </c>
    </row>
    <row r="234" spans="1:23" x14ac:dyDescent="0.2">
      <c r="A234">
        <v>106</v>
      </c>
      <c r="B234" s="43">
        <v>43671</v>
      </c>
      <c r="C234" s="44">
        <v>0.5</v>
      </c>
      <c r="D234">
        <v>-34.558</v>
      </c>
      <c r="E234" s="42">
        <v>-2.3156192300000029</v>
      </c>
      <c r="F234" s="42">
        <f t="shared" si="10"/>
        <v>-0.34558</v>
      </c>
      <c r="G234" s="42">
        <f t="shared" si="10"/>
        <v>-2.3156192300000031E-2</v>
      </c>
      <c r="I234">
        <v>109</v>
      </c>
      <c r="J234" s="43">
        <v>43659</v>
      </c>
      <c r="K234" s="44">
        <v>0.5</v>
      </c>
      <c r="L234" s="47">
        <v>8.2750000000000004</v>
      </c>
      <c r="M234" s="42">
        <v>-1.6405020349999999</v>
      </c>
      <c r="N234" s="42">
        <f t="shared" si="11"/>
        <v>8.2750000000000004E-2</v>
      </c>
      <c r="O234" s="42">
        <f t="shared" si="11"/>
        <v>-1.6405020350000001E-2</v>
      </c>
      <c r="Q234">
        <v>129</v>
      </c>
      <c r="R234" s="43">
        <v>43673</v>
      </c>
      <c r="S234" s="44">
        <v>0.5</v>
      </c>
      <c r="T234" s="45">
        <v>-189.5</v>
      </c>
      <c r="U234" s="42">
        <v>-2.4</v>
      </c>
      <c r="V234" s="46">
        <f t="shared" si="9"/>
        <v>-1.895</v>
      </c>
      <c r="W234" s="42">
        <f t="shared" si="9"/>
        <v>-2.4E-2</v>
      </c>
    </row>
    <row r="235" spans="1:23" x14ac:dyDescent="0.2">
      <c r="A235">
        <v>107</v>
      </c>
      <c r="B235" s="43">
        <v>43672</v>
      </c>
      <c r="C235" s="44">
        <v>0.5</v>
      </c>
      <c r="D235">
        <v>-36.133000000000003</v>
      </c>
      <c r="E235" s="42">
        <v>-2.4157031900000021</v>
      </c>
      <c r="F235" s="42">
        <f t="shared" si="10"/>
        <v>-0.36133000000000004</v>
      </c>
      <c r="G235" s="42">
        <f t="shared" si="10"/>
        <v>-2.4157031900000021E-2</v>
      </c>
      <c r="I235">
        <v>110</v>
      </c>
      <c r="J235" s="43">
        <v>43660</v>
      </c>
      <c r="K235" s="44">
        <v>0.5</v>
      </c>
      <c r="L235" s="47">
        <v>10.141999999999999</v>
      </c>
      <c r="M235" s="42">
        <v>-1.6741887499999999</v>
      </c>
      <c r="N235" s="42">
        <f t="shared" si="11"/>
        <v>0.10142</v>
      </c>
      <c r="O235" s="42">
        <f t="shared" si="11"/>
        <v>-1.67418875E-2</v>
      </c>
      <c r="Q235">
        <v>130</v>
      </c>
      <c r="R235" s="43">
        <v>43674</v>
      </c>
      <c r="S235" s="44">
        <v>0.5</v>
      </c>
      <c r="T235" s="45">
        <v>-190.3</v>
      </c>
      <c r="U235" s="42">
        <v>-2.4500000000000002</v>
      </c>
      <c r="V235" s="46">
        <f t="shared" si="9"/>
        <v>-1.903</v>
      </c>
      <c r="W235" s="42">
        <f t="shared" si="9"/>
        <v>-2.4500000000000001E-2</v>
      </c>
    </row>
    <row r="236" spans="1:23" x14ac:dyDescent="0.2">
      <c r="A236">
        <v>108</v>
      </c>
      <c r="B236" s="43">
        <v>43673</v>
      </c>
      <c r="C236" s="44">
        <v>0.5</v>
      </c>
      <c r="D236">
        <v>-37.008000000000003</v>
      </c>
      <c r="E236" s="42">
        <v>-2.4103493100000044</v>
      </c>
      <c r="F236" s="42">
        <f t="shared" si="10"/>
        <v>-0.37008000000000002</v>
      </c>
      <c r="G236" s="42">
        <f t="shared" si="10"/>
        <v>-2.4103493100000043E-2</v>
      </c>
      <c r="I236">
        <v>111</v>
      </c>
      <c r="J236" s="43">
        <v>43661</v>
      </c>
      <c r="K236" s="44">
        <v>0.5</v>
      </c>
      <c r="L236" s="47">
        <v>9.15</v>
      </c>
      <c r="M236" s="42">
        <v>-1.6414432029999999</v>
      </c>
      <c r="N236" s="42">
        <f t="shared" si="11"/>
        <v>9.1499999999999998E-2</v>
      </c>
      <c r="O236" s="42">
        <f t="shared" si="11"/>
        <v>-1.6414432029999999E-2</v>
      </c>
      <c r="Q236">
        <v>131</v>
      </c>
      <c r="R236" s="43">
        <v>43675</v>
      </c>
      <c r="S236" s="44">
        <v>0.5</v>
      </c>
      <c r="T236" s="45">
        <v>-191.70000000000002</v>
      </c>
      <c r="U236" s="42">
        <v>-2.4500000000000002</v>
      </c>
      <c r="V236" s="46">
        <f t="shared" si="9"/>
        <v>-1.9170000000000003</v>
      </c>
      <c r="W236" s="42">
        <f t="shared" si="9"/>
        <v>-2.4500000000000001E-2</v>
      </c>
    </row>
    <row r="237" spans="1:23" x14ac:dyDescent="0.2">
      <c r="A237">
        <v>109</v>
      </c>
      <c r="B237" s="43">
        <v>43674</v>
      </c>
      <c r="C237" s="44">
        <v>0.5</v>
      </c>
      <c r="D237">
        <v>-38.582999999999998</v>
      </c>
      <c r="E237" s="42">
        <v>-2.4657031900000028</v>
      </c>
      <c r="F237" s="42">
        <f t="shared" si="10"/>
        <v>-0.38583000000000001</v>
      </c>
      <c r="G237" s="42">
        <f t="shared" si="10"/>
        <v>-2.4657031900000029E-2</v>
      </c>
      <c r="I237">
        <v>112</v>
      </c>
      <c r="J237" s="43">
        <v>43662</v>
      </c>
      <c r="K237" s="44">
        <v>0.5</v>
      </c>
      <c r="L237" s="47">
        <v>11.891999999999999</v>
      </c>
      <c r="M237" s="42">
        <v>-1.6035070250000001</v>
      </c>
      <c r="N237" s="42">
        <f t="shared" si="11"/>
        <v>0.11892</v>
      </c>
      <c r="O237" s="42">
        <f t="shared" si="11"/>
        <v>-1.6035070250000002E-2</v>
      </c>
      <c r="Q237">
        <v>132</v>
      </c>
      <c r="R237" s="43">
        <v>43676</v>
      </c>
      <c r="S237" s="44">
        <v>0.5</v>
      </c>
      <c r="T237" s="45">
        <v>-193</v>
      </c>
      <c r="U237" s="42">
        <v>-2.5</v>
      </c>
      <c r="V237" s="46">
        <f t="shared" si="9"/>
        <v>-1.93</v>
      </c>
      <c r="W237" s="42">
        <f t="shared" si="9"/>
        <v>-2.5000000000000001E-2</v>
      </c>
    </row>
    <row r="238" spans="1:23" x14ac:dyDescent="0.2">
      <c r="A238">
        <v>110</v>
      </c>
      <c r="B238" s="43">
        <v>43675</v>
      </c>
      <c r="C238" s="44">
        <v>0.5</v>
      </c>
      <c r="D238">
        <v>-40.1</v>
      </c>
      <c r="E238" s="42">
        <v>-2.5157031900000035</v>
      </c>
      <c r="F238" s="42">
        <f t="shared" si="10"/>
        <v>-0.40100000000000002</v>
      </c>
      <c r="G238" s="42">
        <f t="shared" si="10"/>
        <v>-2.5157031900000036E-2</v>
      </c>
      <c r="I238">
        <v>113</v>
      </c>
      <c r="J238" s="43">
        <v>43663</v>
      </c>
      <c r="K238" s="44">
        <v>0.5</v>
      </c>
      <c r="L238" s="47">
        <v>10.782999999999999</v>
      </c>
      <c r="M238" s="42">
        <v>-1.5908741989999999</v>
      </c>
      <c r="N238" s="42">
        <f t="shared" si="11"/>
        <v>0.10783</v>
      </c>
      <c r="O238" s="42">
        <f t="shared" si="11"/>
        <v>-1.5908741989999999E-2</v>
      </c>
      <c r="Q238">
        <v>133</v>
      </c>
      <c r="R238" s="43">
        <v>43677</v>
      </c>
      <c r="S238" s="44">
        <v>0.5</v>
      </c>
      <c r="T238" s="45">
        <v>-193.9</v>
      </c>
      <c r="U238" s="42">
        <v>-2.5499999999999998</v>
      </c>
      <c r="V238" s="46">
        <f t="shared" si="9"/>
        <v>-1.9390000000000001</v>
      </c>
      <c r="W238" s="42">
        <f t="shared" si="9"/>
        <v>-2.5499999999999998E-2</v>
      </c>
    </row>
    <row r="239" spans="1:23" x14ac:dyDescent="0.2">
      <c r="A239">
        <v>111</v>
      </c>
      <c r="B239" s="43">
        <v>43676</v>
      </c>
      <c r="C239" s="44">
        <v>0.5</v>
      </c>
      <c r="D239">
        <v>-42.024999999999999</v>
      </c>
      <c r="E239" s="42">
        <v>-2.5077958500000044</v>
      </c>
      <c r="F239" s="42">
        <f t="shared" si="10"/>
        <v>-0.42025000000000001</v>
      </c>
      <c r="G239" s="42">
        <f t="shared" si="10"/>
        <v>-2.5077958500000042E-2</v>
      </c>
      <c r="I239">
        <v>114</v>
      </c>
      <c r="J239" s="43">
        <v>43664</v>
      </c>
      <c r="K239" s="44">
        <v>0.5</v>
      </c>
      <c r="L239" s="47">
        <v>9.4420000000000002</v>
      </c>
      <c r="M239" s="42">
        <v>-1.607800882</v>
      </c>
      <c r="N239" s="42">
        <f t="shared" si="11"/>
        <v>9.4420000000000004E-2</v>
      </c>
      <c r="O239" s="42">
        <f t="shared" si="11"/>
        <v>-1.607800882E-2</v>
      </c>
      <c r="Q239">
        <v>134</v>
      </c>
      <c r="R239" s="43">
        <v>43678</v>
      </c>
      <c r="S239" s="44">
        <v>0.5</v>
      </c>
      <c r="T239" s="45">
        <v>-194.70000000000002</v>
      </c>
      <c r="U239" s="42">
        <v>-2.5</v>
      </c>
      <c r="V239" s="46">
        <f t="shared" si="9"/>
        <v>-1.9470000000000001</v>
      </c>
      <c r="W239" s="42">
        <f t="shared" si="9"/>
        <v>-2.5000000000000001E-2</v>
      </c>
    </row>
    <row r="240" spans="1:23" x14ac:dyDescent="0.2">
      <c r="A240">
        <v>112</v>
      </c>
      <c r="B240" s="43">
        <v>43677</v>
      </c>
      <c r="C240" s="44">
        <v>0.5</v>
      </c>
      <c r="D240">
        <v>-43.424999999999997</v>
      </c>
      <c r="E240" s="42">
        <v>-2.5657031900000042</v>
      </c>
      <c r="F240" s="42">
        <f t="shared" si="10"/>
        <v>-0.43424999999999997</v>
      </c>
      <c r="G240" s="42">
        <f t="shared" si="10"/>
        <v>-2.5657031900000044E-2</v>
      </c>
      <c r="I240">
        <v>115</v>
      </c>
      <c r="J240" s="43">
        <v>43665</v>
      </c>
      <c r="K240" s="44">
        <v>0.5</v>
      </c>
      <c r="L240" s="47">
        <v>8.1</v>
      </c>
      <c r="M240" s="42">
        <v>-1.6414432029999999</v>
      </c>
      <c r="N240" s="42">
        <f t="shared" si="11"/>
        <v>8.1000000000000003E-2</v>
      </c>
      <c r="O240" s="42">
        <f t="shared" si="11"/>
        <v>-1.6414432029999999E-2</v>
      </c>
      <c r="Q240">
        <v>135</v>
      </c>
      <c r="R240" s="43">
        <v>43679</v>
      </c>
      <c r="S240" s="44">
        <v>0.5</v>
      </c>
      <c r="T240" s="45">
        <v>-195.2</v>
      </c>
      <c r="U240" s="42">
        <v>-2.5</v>
      </c>
      <c r="V240" s="46">
        <f t="shared" si="9"/>
        <v>-1.952</v>
      </c>
      <c r="W240" s="42">
        <f t="shared" si="9"/>
        <v>-2.5000000000000001E-2</v>
      </c>
    </row>
    <row r="241" spans="1:23" x14ac:dyDescent="0.2">
      <c r="A241">
        <v>113</v>
      </c>
      <c r="B241" s="43">
        <v>43678</v>
      </c>
      <c r="C241" s="44">
        <v>0.5</v>
      </c>
      <c r="D241">
        <v>-25.457999999999998</v>
      </c>
      <c r="E241" s="42">
        <v>-2.4432430700000047</v>
      </c>
      <c r="F241" s="42">
        <f t="shared" si="10"/>
        <v>-0.25457999999999997</v>
      </c>
      <c r="G241" s="42">
        <f t="shared" si="10"/>
        <v>-2.4432430700000049E-2</v>
      </c>
      <c r="I241">
        <v>116</v>
      </c>
      <c r="J241" s="43">
        <v>43666</v>
      </c>
      <c r="K241" s="44">
        <v>0.5</v>
      </c>
      <c r="L241" s="47">
        <v>7.4</v>
      </c>
      <c r="M241" s="42">
        <v>-1.674236104</v>
      </c>
      <c r="N241" s="42">
        <f t="shared" si="11"/>
        <v>7.400000000000001E-2</v>
      </c>
      <c r="O241" s="42">
        <f t="shared" si="11"/>
        <v>-1.6742361040000001E-2</v>
      </c>
      <c r="Q241">
        <v>136</v>
      </c>
      <c r="R241" s="43">
        <v>43680</v>
      </c>
      <c r="S241" s="44">
        <v>0.5</v>
      </c>
      <c r="T241" s="45">
        <v>-195.5</v>
      </c>
      <c r="U241" s="42">
        <v>-2.5499999999999998</v>
      </c>
      <c r="V241" s="46">
        <f t="shared" si="9"/>
        <v>-1.9550000000000001</v>
      </c>
      <c r="W241" s="42">
        <f t="shared" si="9"/>
        <v>-2.5499999999999998E-2</v>
      </c>
    </row>
    <row r="242" spans="1:23" x14ac:dyDescent="0.2">
      <c r="A242">
        <v>114</v>
      </c>
      <c r="B242" s="43">
        <v>43679</v>
      </c>
      <c r="C242" s="44">
        <v>0.5</v>
      </c>
      <c r="D242">
        <v>-21.667000000000002</v>
      </c>
      <c r="E242" s="42">
        <v>-2.3157031900000042</v>
      </c>
      <c r="F242" s="42">
        <f t="shared" si="10"/>
        <v>-0.21667000000000003</v>
      </c>
      <c r="G242" s="42">
        <f t="shared" si="10"/>
        <v>-2.3157031900000041E-2</v>
      </c>
      <c r="I242">
        <v>117</v>
      </c>
      <c r="J242" s="43">
        <v>43667</v>
      </c>
      <c r="K242" s="44">
        <v>0.5</v>
      </c>
      <c r="L242" s="47">
        <v>6.5830000000000002</v>
      </c>
      <c r="M242" s="42">
        <v>-1.706899492</v>
      </c>
      <c r="N242" s="42">
        <f t="shared" si="11"/>
        <v>6.583E-2</v>
      </c>
      <c r="O242" s="42">
        <f t="shared" si="11"/>
        <v>-1.706899492E-2</v>
      </c>
      <c r="Q242">
        <v>137</v>
      </c>
      <c r="R242" s="43">
        <v>43681</v>
      </c>
      <c r="S242" s="44">
        <v>0.5</v>
      </c>
      <c r="T242" s="45">
        <v>-196</v>
      </c>
      <c r="U242" s="42">
        <v>-2.6</v>
      </c>
      <c r="V242" s="46">
        <f t="shared" si="9"/>
        <v>-1.96</v>
      </c>
      <c r="W242" s="42">
        <f t="shared" si="9"/>
        <v>-2.6000000000000002E-2</v>
      </c>
    </row>
    <row r="243" spans="1:23" x14ac:dyDescent="0.2">
      <c r="A243">
        <v>115</v>
      </c>
      <c r="B243" s="43">
        <v>43680</v>
      </c>
      <c r="C243" s="44">
        <v>0.5</v>
      </c>
      <c r="D243">
        <v>-26.042000000000002</v>
      </c>
      <c r="E243" s="42">
        <v>-2.2812437600000024</v>
      </c>
      <c r="F243" s="42">
        <f t="shared" si="10"/>
        <v>-0.26042000000000004</v>
      </c>
      <c r="G243" s="42">
        <f t="shared" si="10"/>
        <v>-2.2812437600000023E-2</v>
      </c>
      <c r="I243">
        <v>118</v>
      </c>
      <c r="J243" s="43">
        <v>43668</v>
      </c>
      <c r="K243" s="44">
        <v>0.5</v>
      </c>
      <c r="L243" s="47">
        <v>7.2830000000000004</v>
      </c>
      <c r="M243" s="42">
        <v>-1.7582190799999999</v>
      </c>
      <c r="N243" s="42">
        <f t="shared" si="11"/>
        <v>7.2830000000000006E-2</v>
      </c>
      <c r="O243" s="42">
        <f t="shared" si="11"/>
        <v>-1.7582190799999998E-2</v>
      </c>
      <c r="Q243">
        <v>138</v>
      </c>
      <c r="R243" s="43">
        <v>43682</v>
      </c>
      <c r="S243" s="44">
        <v>0.5</v>
      </c>
      <c r="T243" s="45">
        <v>-196.8</v>
      </c>
      <c r="U243" s="42">
        <v>-2.6</v>
      </c>
      <c r="V243" s="46">
        <f t="shared" si="9"/>
        <v>-1.9680000000000002</v>
      </c>
      <c r="W243" s="42">
        <f t="shared" si="9"/>
        <v>-2.6000000000000002E-2</v>
      </c>
    </row>
    <row r="244" spans="1:23" x14ac:dyDescent="0.2">
      <c r="A244">
        <v>116</v>
      </c>
      <c r="B244" s="43">
        <v>43681</v>
      </c>
      <c r="C244" s="44">
        <v>0.5</v>
      </c>
      <c r="D244">
        <v>-28.725000000000001</v>
      </c>
      <c r="E244" s="42">
        <v>-2.3157031900000042</v>
      </c>
      <c r="F244" s="42">
        <f t="shared" si="10"/>
        <v>-0.28725000000000001</v>
      </c>
      <c r="G244" s="42">
        <f t="shared" si="10"/>
        <v>-2.3157031900000041E-2</v>
      </c>
      <c r="I244">
        <v>119</v>
      </c>
      <c r="J244" s="43">
        <v>43669</v>
      </c>
      <c r="K244" s="44">
        <v>0.5</v>
      </c>
      <c r="L244" s="47">
        <v>8.5079999999999991</v>
      </c>
      <c r="M244" s="42">
        <v>-1.6740466869999999</v>
      </c>
      <c r="N244" s="42">
        <f t="shared" si="11"/>
        <v>8.5079999999999989E-2</v>
      </c>
      <c r="O244" s="42">
        <f t="shared" si="11"/>
        <v>-1.6740466869999998E-2</v>
      </c>
      <c r="Q244">
        <v>139</v>
      </c>
      <c r="R244" s="43">
        <v>43683</v>
      </c>
      <c r="S244" s="44">
        <v>0.5</v>
      </c>
      <c r="T244" s="45">
        <v>-197.4</v>
      </c>
      <c r="U244" s="42">
        <v>-2.65</v>
      </c>
      <c r="V244" s="46">
        <f t="shared" si="9"/>
        <v>-1.974</v>
      </c>
      <c r="W244" s="42">
        <f t="shared" si="9"/>
        <v>-2.6499999999999999E-2</v>
      </c>
    </row>
    <row r="245" spans="1:23" x14ac:dyDescent="0.2">
      <c r="A245">
        <v>117</v>
      </c>
      <c r="B245" s="43">
        <v>43682</v>
      </c>
      <c r="C245" s="44">
        <v>0.5</v>
      </c>
      <c r="D245">
        <v>-28.9</v>
      </c>
      <c r="E245" s="42">
        <v>-2.2832193700000047</v>
      </c>
      <c r="F245" s="42">
        <f t="shared" si="10"/>
        <v>-0.28899999999999998</v>
      </c>
      <c r="G245" s="42">
        <f t="shared" si="10"/>
        <v>-2.2832193700000048E-2</v>
      </c>
      <c r="I245">
        <v>120</v>
      </c>
      <c r="J245" s="43">
        <v>43670</v>
      </c>
      <c r="K245" s="44">
        <v>0.5</v>
      </c>
      <c r="L245" s="47">
        <v>8.5079999999999991</v>
      </c>
      <c r="M245" s="42">
        <v>-1.6910705829999999</v>
      </c>
      <c r="N245" s="42">
        <f t="shared" si="11"/>
        <v>8.5079999999999989E-2</v>
      </c>
      <c r="O245" s="42">
        <f t="shared" si="11"/>
        <v>-1.6910705829999997E-2</v>
      </c>
      <c r="Q245">
        <v>140</v>
      </c>
      <c r="R245" s="43">
        <v>43684</v>
      </c>
      <c r="S245" s="44">
        <v>0.5</v>
      </c>
      <c r="T245" s="45">
        <v>-198.4</v>
      </c>
      <c r="U245" s="42">
        <v>-2.7</v>
      </c>
      <c r="V245" s="46">
        <f t="shared" si="9"/>
        <v>-1.984</v>
      </c>
      <c r="W245" s="42">
        <f t="shared" si="9"/>
        <v>-2.7000000000000003E-2</v>
      </c>
    </row>
    <row r="246" spans="1:23" x14ac:dyDescent="0.2">
      <c r="A246">
        <v>118</v>
      </c>
      <c r="B246" s="43">
        <v>43683</v>
      </c>
      <c r="C246" s="44">
        <v>0.5</v>
      </c>
      <c r="D246">
        <v>-30.882999999999999</v>
      </c>
      <c r="E246" s="42">
        <v>-2.3156192300000029</v>
      </c>
      <c r="F246" s="42">
        <f t="shared" si="10"/>
        <v>-0.30882999999999999</v>
      </c>
      <c r="G246" s="42">
        <f t="shared" si="10"/>
        <v>-2.3156192300000031E-2</v>
      </c>
      <c r="I246">
        <v>121</v>
      </c>
      <c r="J246" s="43">
        <v>43671</v>
      </c>
      <c r="K246" s="44">
        <v>0.5</v>
      </c>
      <c r="L246" s="47">
        <v>8.0419999999999998</v>
      </c>
      <c r="M246" s="42">
        <v>-1.7034201040000001</v>
      </c>
      <c r="N246" s="42">
        <f t="shared" si="11"/>
        <v>8.0419999999999991E-2</v>
      </c>
      <c r="O246" s="42">
        <f t="shared" si="11"/>
        <v>-1.7034201040000002E-2</v>
      </c>
      <c r="Q246">
        <v>141</v>
      </c>
      <c r="R246" s="43">
        <v>43685</v>
      </c>
      <c r="S246" s="44">
        <v>0.5</v>
      </c>
      <c r="T246" s="45">
        <v>-199.2</v>
      </c>
      <c r="U246" s="42">
        <v>-2.7</v>
      </c>
      <c r="V246" s="46">
        <f t="shared" si="9"/>
        <v>-1.992</v>
      </c>
      <c r="W246" s="42">
        <f t="shared" si="9"/>
        <v>-2.7000000000000003E-2</v>
      </c>
    </row>
    <row r="247" spans="1:23" x14ac:dyDescent="0.2">
      <c r="A247">
        <v>119</v>
      </c>
      <c r="B247" s="43">
        <v>43684</v>
      </c>
      <c r="C247" s="44">
        <v>0.5</v>
      </c>
      <c r="D247">
        <v>-32.517000000000003</v>
      </c>
      <c r="E247" s="42">
        <v>-2.3480190900000046</v>
      </c>
      <c r="F247" s="42">
        <f t="shared" si="10"/>
        <v>-0.32517000000000001</v>
      </c>
      <c r="G247" s="42">
        <f t="shared" si="10"/>
        <v>-2.3480190900000045E-2</v>
      </c>
      <c r="I247">
        <v>122</v>
      </c>
      <c r="J247" s="43">
        <v>43672</v>
      </c>
      <c r="K247" s="44">
        <v>0.5</v>
      </c>
      <c r="L247" s="47">
        <v>6.2919999999999998</v>
      </c>
      <c r="M247" s="42">
        <v>-1.7237986839999999</v>
      </c>
      <c r="N247" s="42">
        <f t="shared" si="11"/>
        <v>6.2920000000000004E-2</v>
      </c>
      <c r="O247" s="42">
        <f t="shared" si="11"/>
        <v>-1.723798684E-2</v>
      </c>
      <c r="Q247">
        <v>142</v>
      </c>
      <c r="R247" s="43">
        <v>43686</v>
      </c>
      <c r="S247" s="44">
        <v>0.5</v>
      </c>
      <c r="T247" s="45">
        <v>-202.1</v>
      </c>
      <c r="U247" s="42">
        <v>-2.75</v>
      </c>
      <c r="V247" s="46">
        <f t="shared" ref="V247:W310" si="12">T247/100</f>
        <v>-2.0209999999999999</v>
      </c>
      <c r="W247" s="42">
        <f t="shared" si="12"/>
        <v>-2.75E-2</v>
      </c>
    </row>
    <row r="248" spans="1:23" x14ac:dyDescent="0.2">
      <c r="A248">
        <v>120</v>
      </c>
      <c r="B248" s="43">
        <v>43685</v>
      </c>
      <c r="C248" s="44">
        <v>0.5</v>
      </c>
      <c r="D248">
        <v>-34.558</v>
      </c>
      <c r="E248" s="42">
        <v>-2.3776531100000042</v>
      </c>
      <c r="F248" s="42">
        <f t="shared" si="10"/>
        <v>-0.34558</v>
      </c>
      <c r="G248" s="42">
        <f t="shared" si="10"/>
        <v>-2.3776531100000043E-2</v>
      </c>
      <c r="I248">
        <v>123</v>
      </c>
      <c r="J248" s="43">
        <v>43673</v>
      </c>
      <c r="K248" s="44">
        <v>0.5</v>
      </c>
      <c r="L248" s="47">
        <v>5.5919999999999996</v>
      </c>
      <c r="M248" s="42">
        <v>-1.757750272</v>
      </c>
      <c r="N248" s="42">
        <f t="shared" si="11"/>
        <v>5.5919999999999997E-2</v>
      </c>
      <c r="O248" s="42">
        <f t="shared" si="11"/>
        <v>-1.7577502719999999E-2</v>
      </c>
      <c r="Q248">
        <v>143</v>
      </c>
      <c r="R248" s="43">
        <v>43687</v>
      </c>
      <c r="S248" s="44">
        <v>0.5</v>
      </c>
      <c r="T248" s="45">
        <v>-202.59999999999997</v>
      </c>
      <c r="U248" s="42">
        <v>-2.75</v>
      </c>
      <c r="V248" s="46">
        <f t="shared" si="12"/>
        <v>-2.0259999999999998</v>
      </c>
      <c r="W248" s="42">
        <f t="shared" si="12"/>
        <v>-2.75E-2</v>
      </c>
    </row>
    <row r="249" spans="1:23" x14ac:dyDescent="0.2">
      <c r="A249">
        <v>121</v>
      </c>
      <c r="B249" s="43">
        <v>43686</v>
      </c>
      <c r="C249" s="44">
        <v>0.5</v>
      </c>
      <c r="D249">
        <v>-36.075000000000003</v>
      </c>
      <c r="E249" s="42">
        <v>-2.3784433500000048</v>
      </c>
      <c r="F249" s="42">
        <f t="shared" si="10"/>
        <v>-0.36075000000000002</v>
      </c>
      <c r="G249" s="42">
        <f t="shared" si="10"/>
        <v>-2.3784433500000049E-2</v>
      </c>
      <c r="I249">
        <v>124</v>
      </c>
      <c r="J249" s="43">
        <v>43674</v>
      </c>
      <c r="K249" s="44">
        <v>0.5</v>
      </c>
      <c r="L249" s="47">
        <v>4.1920000000000002</v>
      </c>
      <c r="M249" s="42">
        <v>-1.808276955</v>
      </c>
      <c r="N249" s="42">
        <f t="shared" si="11"/>
        <v>4.1919999999999999E-2</v>
      </c>
      <c r="O249" s="42">
        <f t="shared" si="11"/>
        <v>-1.8082769549999999E-2</v>
      </c>
      <c r="Q249">
        <v>144</v>
      </c>
      <c r="R249" s="43">
        <v>43688</v>
      </c>
      <c r="S249" s="44">
        <v>0.5</v>
      </c>
      <c r="T249" s="45">
        <v>-203.39999999999998</v>
      </c>
      <c r="U249" s="42">
        <v>-2.5</v>
      </c>
      <c r="V249" s="46">
        <f t="shared" si="12"/>
        <v>-2.0339999999999998</v>
      </c>
      <c r="W249" s="42">
        <f t="shared" si="12"/>
        <v>-2.5000000000000001E-2</v>
      </c>
    </row>
    <row r="250" spans="1:23" x14ac:dyDescent="0.2">
      <c r="A250">
        <v>122</v>
      </c>
      <c r="B250" s="43">
        <v>43687</v>
      </c>
      <c r="C250" s="44">
        <v>0.5</v>
      </c>
      <c r="D250">
        <v>-37.825000000000003</v>
      </c>
      <c r="E250" s="42">
        <v>-2.4392918700000052</v>
      </c>
      <c r="F250" s="42">
        <f t="shared" si="10"/>
        <v>-0.37825000000000003</v>
      </c>
      <c r="G250" s="42">
        <f t="shared" si="10"/>
        <v>-2.4392918700000054E-2</v>
      </c>
      <c r="I250">
        <v>125</v>
      </c>
      <c r="J250" s="43">
        <v>43675</v>
      </c>
      <c r="K250" s="44">
        <v>0.5</v>
      </c>
      <c r="L250" s="47">
        <v>3.375</v>
      </c>
      <c r="M250" s="42">
        <v>-1.850222703</v>
      </c>
      <c r="N250" s="42">
        <f t="shared" si="11"/>
        <v>3.3750000000000002E-2</v>
      </c>
      <c r="O250" s="42">
        <f t="shared" si="11"/>
        <v>-1.8502227029999999E-2</v>
      </c>
      <c r="Q250">
        <v>145</v>
      </c>
      <c r="R250" s="43">
        <v>43689</v>
      </c>
      <c r="S250" s="44">
        <v>0.5</v>
      </c>
      <c r="T250" s="45">
        <v>-204.8</v>
      </c>
      <c r="U250" s="42">
        <v>-2.5499999999999998</v>
      </c>
      <c r="V250" s="46">
        <f t="shared" si="12"/>
        <v>-2.048</v>
      </c>
      <c r="W250" s="42">
        <f t="shared" si="12"/>
        <v>-2.5499999999999998E-2</v>
      </c>
    </row>
    <row r="251" spans="1:23" x14ac:dyDescent="0.2">
      <c r="A251">
        <v>123</v>
      </c>
      <c r="B251" s="43">
        <v>43688</v>
      </c>
      <c r="C251" s="44">
        <v>0.5</v>
      </c>
      <c r="D251">
        <v>-39.225000000000001</v>
      </c>
      <c r="E251" s="42">
        <v>-2.4412674700000032</v>
      </c>
      <c r="F251" s="42">
        <f t="shared" si="10"/>
        <v>-0.39224999999999999</v>
      </c>
      <c r="G251" s="42">
        <f t="shared" si="10"/>
        <v>-2.4412674700000032E-2</v>
      </c>
      <c r="I251">
        <v>126</v>
      </c>
      <c r="J251" s="43">
        <v>43676</v>
      </c>
      <c r="K251" s="44">
        <v>0.5</v>
      </c>
      <c r="L251" s="47">
        <v>2.3250000000000002</v>
      </c>
      <c r="M251" s="42">
        <v>-1.909388437</v>
      </c>
      <c r="N251" s="42">
        <f t="shared" si="11"/>
        <v>2.3250000000000003E-2</v>
      </c>
      <c r="O251" s="42">
        <f t="shared" si="11"/>
        <v>-1.9093884370000001E-2</v>
      </c>
      <c r="Q251">
        <v>146</v>
      </c>
      <c r="R251" s="43">
        <v>43690</v>
      </c>
      <c r="S251" s="44">
        <v>0.5</v>
      </c>
      <c r="T251" s="45">
        <v>-206.1</v>
      </c>
      <c r="U251" s="42">
        <v>-2.6</v>
      </c>
      <c r="V251" s="46">
        <f t="shared" si="12"/>
        <v>-2.0609999999999999</v>
      </c>
      <c r="W251" s="42">
        <f t="shared" si="12"/>
        <v>-2.6000000000000002E-2</v>
      </c>
    </row>
    <row r="252" spans="1:23" x14ac:dyDescent="0.2">
      <c r="A252">
        <v>124</v>
      </c>
      <c r="B252" s="43">
        <v>43689</v>
      </c>
      <c r="C252" s="44">
        <v>0.5</v>
      </c>
      <c r="D252">
        <v>-41.558</v>
      </c>
      <c r="E252" s="42">
        <v>-2.4716917300000034</v>
      </c>
      <c r="F252" s="42">
        <f t="shared" si="10"/>
        <v>-0.41558</v>
      </c>
      <c r="G252" s="42">
        <f t="shared" si="10"/>
        <v>-2.4716917300000033E-2</v>
      </c>
      <c r="I252">
        <v>127</v>
      </c>
      <c r="J252" s="43">
        <v>43677</v>
      </c>
      <c r="K252" s="44">
        <v>0.5</v>
      </c>
      <c r="L252" s="47">
        <v>2.4420000000000002</v>
      </c>
      <c r="M252" s="42">
        <v>-1.942652515</v>
      </c>
      <c r="N252" s="42">
        <f t="shared" si="11"/>
        <v>2.4420000000000001E-2</v>
      </c>
      <c r="O252" s="42">
        <f t="shared" si="11"/>
        <v>-1.9426525149999999E-2</v>
      </c>
      <c r="Q252">
        <v>147</v>
      </c>
      <c r="R252" s="43">
        <v>43691</v>
      </c>
      <c r="S252" s="44">
        <v>0.5</v>
      </c>
      <c r="T252" s="45">
        <v>-206.3</v>
      </c>
      <c r="U252" s="42">
        <v>-2.65</v>
      </c>
      <c r="V252" s="46">
        <f t="shared" si="12"/>
        <v>-2.0630000000000002</v>
      </c>
      <c r="W252" s="42">
        <f t="shared" si="12"/>
        <v>-2.6499999999999999E-2</v>
      </c>
    </row>
    <row r="253" spans="1:23" x14ac:dyDescent="0.2">
      <c r="A253">
        <v>125</v>
      </c>
      <c r="B253" s="43">
        <v>43690</v>
      </c>
      <c r="C253" s="44">
        <v>0.5</v>
      </c>
      <c r="D253">
        <v>-42.667000000000002</v>
      </c>
      <c r="E253" s="42">
        <v>-2.4392918700000052</v>
      </c>
      <c r="F253" s="42">
        <f t="shared" si="10"/>
        <v>-0.42666999999999999</v>
      </c>
      <c r="G253" s="42">
        <f t="shared" si="10"/>
        <v>-2.4392918700000054E-2</v>
      </c>
      <c r="I253">
        <v>128</v>
      </c>
      <c r="J253" s="43">
        <v>43678</v>
      </c>
      <c r="K253" s="44">
        <v>0.5</v>
      </c>
      <c r="L253" s="47">
        <v>4.3079999999999998</v>
      </c>
      <c r="M253" s="42">
        <v>-1.8935341939999999</v>
      </c>
      <c r="N253" s="42">
        <f t="shared" si="11"/>
        <v>4.308E-2</v>
      </c>
      <c r="O253" s="42">
        <f t="shared" si="11"/>
        <v>-1.8935341939999999E-2</v>
      </c>
      <c r="Q253">
        <v>148</v>
      </c>
      <c r="R253" s="43">
        <v>43692</v>
      </c>
      <c r="S253" s="44">
        <v>0.5</v>
      </c>
      <c r="T253" s="45">
        <v>-191</v>
      </c>
      <c r="U253" s="42">
        <v>-2.5</v>
      </c>
      <c r="V253" s="46">
        <f t="shared" si="12"/>
        <v>-1.91</v>
      </c>
      <c r="W253" s="42">
        <f t="shared" si="12"/>
        <v>-2.5000000000000001E-2</v>
      </c>
    </row>
    <row r="254" spans="1:23" x14ac:dyDescent="0.2">
      <c r="A254">
        <v>126</v>
      </c>
      <c r="B254" s="43">
        <v>43691</v>
      </c>
      <c r="C254" s="44">
        <v>0.5</v>
      </c>
      <c r="D254">
        <v>-44.475000000000001</v>
      </c>
      <c r="E254" s="42">
        <v>-2.5657031900000042</v>
      </c>
      <c r="F254" s="42">
        <f t="shared" si="10"/>
        <v>-0.44475000000000003</v>
      </c>
      <c r="G254" s="42">
        <f t="shared" si="10"/>
        <v>-2.5657031900000044E-2</v>
      </c>
      <c r="I254">
        <v>129</v>
      </c>
      <c r="J254" s="43">
        <v>43679</v>
      </c>
      <c r="K254" s="44">
        <v>0.5</v>
      </c>
      <c r="L254" s="47">
        <v>4.0750000000000002</v>
      </c>
      <c r="M254" s="42">
        <v>-1.8923809760000001</v>
      </c>
      <c r="N254" s="42">
        <f t="shared" si="11"/>
        <v>4.0750000000000001E-2</v>
      </c>
      <c r="O254" s="42">
        <f t="shared" si="11"/>
        <v>-1.892380976E-2</v>
      </c>
      <c r="Q254">
        <v>149</v>
      </c>
      <c r="R254" s="43">
        <v>43693</v>
      </c>
      <c r="S254" s="44">
        <v>0.5</v>
      </c>
      <c r="T254" s="45">
        <v>-185.1</v>
      </c>
      <c r="U254" s="42">
        <v>-2.15</v>
      </c>
      <c r="V254" s="46">
        <f t="shared" si="12"/>
        <v>-1.851</v>
      </c>
      <c r="W254" s="42">
        <f t="shared" si="12"/>
        <v>-2.1499999999999998E-2</v>
      </c>
    </row>
    <row r="255" spans="1:23" x14ac:dyDescent="0.2">
      <c r="A255">
        <v>127</v>
      </c>
      <c r="B255" s="43">
        <v>43692</v>
      </c>
      <c r="C255" s="44">
        <v>0.5</v>
      </c>
      <c r="D255">
        <v>-40.975000000000001</v>
      </c>
      <c r="E255" s="42">
        <v>-2.5157031900000035</v>
      </c>
      <c r="F255" s="42">
        <f t="shared" si="10"/>
        <v>-0.40975</v>
      </c>
      <c r="G255" s="42">
        <f t="shared" si="10"/>
        <v>-2.5157031900000036E-2</v>
      </c>
      <c r="I255">
        <v>130</v>
      </c>
      <c r="J255" s="43">
        <v>43680</v>
      </c>
      <c r="K255" s="44">
        <v>0.5</v>
      </c>
      <c r="L255" s="47">
        <v>2.617</v>
      </c>
      <c r="M255" s="42">
        <v>-1.9265212490000001</v>
      </c>
      <c r="N255" s="42">
        <f t="shared" si="11"/>
        <v>2.6169999999999999E-2</v>
      </c>
      <c r="O255" s="42">
        <f t="shared" si="11"/>
        <v>-1.9265212490000003E-2</v>
      </c>
      <c r="Q255">
        <v>150</v>
      </c>
      <c r="R255" s="43">
        <v>43694</v>
      </c>
      <c r="S255" s="44">
        <v>0.5</v>
      </c>
      <c r="T255" s="45">
        <v>-183.4</v>
      </c>
      <c r="U255" s="42">
        <v>-2.15</v>
      </c>
      <c r="V255" s="46">
        <f t="shared" si="12"/>
        <v>-1.8340000000000001</v>
      </c>
      <c r="W255" s="42">
        <f t="shared" si="12"/>
        <v>-2.1499999999999998E-2</v>
      </c>
    </row>
    <row r="256" spans="1:23" x14ac:dyDescent="0.2">
      <c r="A256">
        <v>128</v>
      </c>
      <c r="B256" s="43">
        <v>43693</v>
      </c>
      <c r="C256" s="44">
        <v>0.5</v>
      </c>
      <c r="D256">
        <v>-36.482999999999997</v>
      </c>
      <c r="E256" s="42">
        <v>-2.4716917300000034</v>
      </c>
      <c r="F256" s="42">
        <f t="shared" si="10"/>
        <v>-0.36482999999999999</v>
      </c>
      <c r="G256" s="42">
        <f t="shared" si="10"/>
        <v>-2.4716917300000033E-2</v>
      </c>
      <c r="I256">
        <v>131</v>
      </c>
      <c r="J256" s="43">
        <v>43681</v>
      </c>
      <c r="K256" s="44">
        <v>0.5</v>
      </c>
      <c r="L256" s="47">
        <v>1.1579999999999999</v>
      </c>
      <c r="M256" s="42">
        <v>-1.753507025</v>
      </c>
      <c r="N256" s="42">
        <f t="shared" si="11"/>
        <v>1.158E-2</v>
      </c>
      <c r="O256" s="42">
        <f t="shared" si="11"/>
        <v>-1.753507025E-2</v>
      </c>
      <c r="Q256">
        <v>151</v>
      </c>
      <c r="R256" s="43">
        <v>43695</v>
      </c>
      <c r="S256" s="44">
        <v>0.5</v>
      </c>
      <c r="T256" s="45">
        <v>-183.6</v>
      </c>
      <c r="U256" s="42">
        <v>-2.1</v>
      </c>
      <c r="V256" s="46">
        <f t="shared" si="12"/>
        <v>-1.8359999999999999</v>
      </c>
      <c r="W256" s="42">
        <f t="shared" si="12"/>
        <v>-2.1000000000000001E-2</v>
      </c>
    </row>
    <row r="257" spans="1:23" x14ac:dyDescent="0.2">
      <c r="A257">
        <v>129</v>
      </c>
      <c r="B257" s="43">
        <v>43694</v>
      </c>
      <c r="C257" s="44">
        <v>0.5</v>
      </c>
      <c r="D257">
        <v>-37.299999999999997</v>
      </c>
      <c r="E257" s="42">
        <v>-2.4392918700000052</v>
      </c>
      <c r="F257" s="42">
        <f t="shared" si="10"/>
        <v>-0.373</v>
      </c>
      <c r="G257" s="42">
        <f t="shared" si="10"/>
        <v>-2.4392918700000054E-2</v>
      </c>
      <c r="I257">
        <v>132</v>
      </c>
      <c r="J257" s="43">
        <v>43682</v>
      </c>
      <c r="K257" s="44">
        <v>0.5</v>
      </c>
      <c r="L257" s="47">
        <v>9.0920000000000005</v>
      </c>
      <c r="M257" s="42">
        <v>-1.751746094</v>
      </c>
      <c r="N257" s="42">
        <f t="shared" si="11"/>
        <v>9.0920000000000001E-2</v>
      </c>
      <c r="O257" s="42">
        <f t="shared" si="11"/>
        <v>-1.751746094E-2</v>
      </c>
      <c r="Q257">
        <v>152</v>
      </c>
      <c r="R257" s="43">
        <v>43696</v>
      </c>
      <c r="S257" s="44">
        <v>0.5</v>
      </c>
      <c r="T257" s="45">
        <v>-185</v>
      </c>
      <c r="U257" s="42">
        <v>-2.0499999999999998</v>
      </c>
      <c r="V257" s="46">
        <f t="shared" si="12"/>
        <v>-1.85</v>
      </c>
      <c r="W257" s="42">
        <f t="shared" si="12"/>
        <v>-2.0499999999999997E-2</v>
      </c>
    </row>
    <row r="258" spans="1:23" x14ac:dyDescent="0.2">
      <c r="A258">
        <v>130</v>
      </c>
      <c r="B258" s="43">
        <v>43695</v>
      </c>
      <c r="C258" s="44">
        <v>0.5</v>
      </c>
      <c r="D258">
        <v>-39.4</v>
      </c>
      <c r="E258" s="42">
        <v>-2.4392918700000052</v>
      </c>
      <c r="F258" s="42">
        <f t="shared" si="10"/>
        <v>-0.39399999999999996</v>
      </c>
      <c r="G258" s="42">
        <f t="shared" si="10"/>
        <v>-2.4392918700000054E-2</v>
      </c>
      <c r="I258">
        <v>133</v>
      </c>
      <c r="J258" s="43">
        <v>43683</v>
      </c>
      <c r="K258" s="44">
        <v>0.5</v>
      </c>
      <c r="L258" s="47">
        <v>7.9249999999999998</v>
      </c>
      <c r="M258" s="42">
        <v>-1.784265403</v>
      </c>
      <c r="N258" s="42">
        <f t="shared" si="11"/>
        <v>7.9250000000000001E-2</v>
      </c>
      <c r="O258" s="42">
        <f t="shared" si="11"/>
        <v>-1.7842654030000002E-2</v>
      </c>
      <c r="Q258">
        <v>153</v>
      </c>
      <c r="R258" s="43">
        <v>43697</v>
      </c>
      <c r="S258" s="44">
        <v>0.5</v>
      </c>
      <c r="T258" s="45">
        <v>-187</v>
      </c>
      <c r="U258" s="42">
        <v>-2.0499999999999998</v>
      </c>
      <c r="V258" s="46">
        <f t="shared" si="12"/>
        <v>-1.87</v>
      </c>
      <c r="W258" s="42">
        <f t="shared" si="12"/>
        <v>-2.0499999999999997E-2</v>
      </c>
    </row>
    <row r="259" spans="1:23" x14ac:dyDescent="0.2">
      <c r="A259">
        <v>131</v>
      </c>
      <c r="B259" s="43">
        <v>43696</v>
      </c>
      <c r="C259" s="44">
        <v>0.5</v>
      </c>
      <c r="D259">
        <v>-41.732999999999997</v>
      </c>
      <c r="E259" s="42">
        <v>-2.4657031900000028</v>
      </c>
      <c r="F259" s="42">
        <f t="shared" si="10"/>
        <v>-0.41732999999999998</v>
      </c>
      <c r="G259" s="42">
        <f t="shared" si="10"/>
        <v>-2.4657031900000029E-2</v>
      </c>
      <c r="I259">
        <v>134</v>
      </c>
      <c r="J259" s="43">
        <v>43684</v>
      </c>
      <c r="K259" s="44">
        <v>0.5</v>
      </c>
      <c r="L259" s="47">
        <v>7.3419999999999996</v>
      </c>
      <c r="M259" s="42">
        <v>-1.804184571</v>
      </c>
      <c r="N259" s="42">
        <f t="shared" si="11"/>
        <v>7.3419999999999999E-2</v>
      </c>
      <c r="O259" s="42">
        <f t="shared" si="11"/>
        <v>-1.8041845710000001E-2</v>
      </c>
      <c r="Q259">
        <v>154</v>
      </c>
      <c r="R259" s="43">
        <v>43698</v>
      </c>
      <c r="S259" s="44">
        <v>0.5</v>
      </c>
      <c r="T259" s="45">
        <v>-187.4</v>
      </c>
      <c r="U259" s="42">
        <v>-2.2000000000000002</v>
      </c>
      <c r="V259" s="46">
        <f t="shared" si="12"/>
        <v>-1.8740000000000001</v>
      </c>
      <c r="W259" s="42">
        <f t="shared" si="12"/>
        <v>-2.2000000000000002E-2</v>
      </c>
    </row>
    <row r="260" spans="1:23" x14ac:dyDescent="0.2">
      <c r="A260">
        <v>132</v>
      </c>
      <c r="B260" s="43">
        <v>43697</v>
      </c>
      <c r="C260" s="44">
        <v>0.5</v>
      </c>
      <c r="D260">
        <v>-42.841999999999999</v>
      </c>
      <c r="E260" s="42">
        <v>-2.5157031900000035</v>
      </c>
      <c r="F260" s="42">
        <f t="shared" si="10"/>
        <v>-0.42841999999999997</v>
      </c>
      <c r="G260" s="42">
        <f t="shared" si="10"/>
        <v>-2.5157031900000036E-2</v>
      </c>
      <c r="I260">
        <v>135</v>
      </c>
      <c r="J260" s="43">
        <v>43685</v>
      </c>
      <c r="K260" s="44">
        <v>0.5</v>
      </c>
      <c r="L260" s="47">
        <v>6.35</v>
      </c>
      <c r="M260" s="42">
        <v>-1.907718818</v>
      </c>
      <c r="N260" s="42">
        <f t="shared" si="11"/>
        <v>6.3500000000000001E-2</v>
      </c>
      <c r="O260" s="42">
        <f t="shared" si="11"/>
        <v>-1.9077188179999999E-2</v>
      </c>
      <c r="Q260">
        <v>155</v>
      </c>
      <c r="R260" s="43">
        <v>43699</v>
      </c>
      <c r="S260" s="44">
        <v>0.5</v>
      </c>
      <c r="T260" s="45">
        <v>-189.1</v>
      </c>
      <c r="U260" s="42">
        <v>-2.2000000000000002</v>
      </c>
      <c r="V260" s="46">
        <f t="shared" si="12"/>
        <v>-1.891</v>
      </c>
      <c r="W260" s="42">
        <f t="shared" si="12"/>
        <v>-2.2000000000000002E-2</v>
      </c>
    </row>
    <row r="261" spans="1:23" x14ac:dyDescent="0.2">
      <c r="A261">
        <v>133</v>
      </c>
      <c r="B261" s="43">
        <v>43698</v>
      </c>
      <c r="C261" s="44">
        <v>0.5</v>
      </c>
      <c r="D261">
        <v>-44.241999999999997</v>
      </c>
      <c r="E261" s="42">
        <v>-2.5657031900000042</v>
      </c>
      <c r="F261" s="42">
        <f t="shared" si="10"/>
        <v>-0.44241999999999998</v>
      </c>
      <c r="G261" s="42">
        <f t="shared" si="10"/>
        <v>-2.5657031900000044E-2</v>
      </c>
      <c r="I261">
        <v>136</v>
      </c>
      <c r="J261" s="43">
        <v>43686</v>
      </c>
      <c r="K261" s="44">
        <v>0.5</v>
      </c>
      <c r="L261" s="47">
        <v>5.3579999999999997</v>
      </c>
      <c r="M261" s="42">
        <v>-1.9035070249999999</v>
      </c>
      <c r="N261" s="42">
        <f t="shared" si="11"/>
        <v>5.3579999999999996E-2</v>
      </c>
      <c r="O261" s="42">
        <f t="shared" si="11"/>
        <v>-1.9035070249999998E-2</v>
      </c>
      <c r="Q261">
        <v>156</v>
      </c>
      <c r="R261" s="43">
        <v>43700</v>
      </c>
      <c r="S261" s="44">
        <v>0.5</v>
      </c>
      <c r="T261" s="45">
        <v>-191.1</v>
      </c>
      <c r="U261" s="42">
        <v>-2.2999999999999998</v>
      </c>
      <c r="V261" s="46">
        <f t="shared" si="12"/>
        <v>-1.911</v>
      </c>
      <c r="W261" s="42">
        <f t="shared" si="12"/>
        <v>-2.3E-2</v>
      </c>
    </row>
    <row r="262" spans="1:23" x14ac:dyDescent="0.2">
      <c r="A262">
        <v>134</v>
      </c>
      <c r="B262" s="43">
        <v>43699</v>
      </c>
      <c r="C262" s="44">
        <v>0.5</v>
      </c>
      <c r="D262">
        <v>-45.875</v>
      </c>
      <c r="E262" s="42">
        <v>-2.5657031900000042</v>
      </c>
      <c r="F262" s="42">
        <f t="shared" si="10"/>
        <v>-0.45874999999999999</v>
      </c>
      <c r="G262" s="42">
        <f t="shared" si="10"/>
        <v>-2.5657031900000044E-2</v>
      </c>
      <c r="I262">
        <v>137</v>
      </c>
      <c r="J262" s="43">
        <v>43687</v>
      </c>
      <c r="K262" s="44">
        <v>0.5</v>
      </c>
      <c r="L262" s="47">
        <v>4.6580000000000004</v>
      </c>
      <c r="M262" s="42">
        <v>-1.984541922</v>
      </c>
      <c r="N262" s="42">
        <f t="shared" si="11"/>
        <v>4.6580000000000003E-2</v>
      </c>
      <c r="O262" s="42">
        <f t="shared" si="11"/>
        <v>-1.984541922E-2</v>
      </c>
      <c r="Q262">
        <v>157</v>
      </c>
      <c r="R262" s="43">
        <v>43701</v>
      </c>
      <c r="S262" s="44">
        <v>0.5</v>
      </c>
      <c r="T262" s="45">
        <v>-192.9</v>
      </c>
      <c r="U262" s="42">
        <v>-2.2999999999999998</v>
      </c>
      <c r="V262" s="46">
        <f t="shared" si="12"/>
        <v>-1.929</v>
      </c>
      <c r="W262" s="42">
        <f t="shared" si="12"/>
        <v>-2.3E-2</v>
      </c>
    </row>
    <row r="263" spans="1:23" x14ac:dyDescent="0.2">
      <c r="A263">
        <v>135</v>
      </c>
      <c r="B263" s="43">
        <v>43700</v>
      </c>
      <c r="C263" s="44">
        <v>0.5</v>
      </c>
      <c r="D263">
        <v>-47.042000000000002</v>
      </c>
      <c r="E263" s="42">
        <v>-2.615703190000005</v>
      </c>
      <c r="F263" s="42">
        <f t="shared" si="10"/>
        <v>-0.47042</v>
      </c>
      <c r="G263" s="42">
        <f t="shared" si="10"/>
        <v>-2.6157031900000051E-2</v>
      </c>
      <c r="I263">
        <v>138</v>
      </c>
      <c r="J263" s="43">
        <v>43688</v>
      </c>
      <c r="K263" s="44">
        <v>0.5</v>
      </c>
      <c r="L263" s="47">
        <v>4.0750000000000002</v>
      </c>
      <c r="M263" s="42">
        <v>-1.9819041369999999</v>
      </c>
      <c r="N263" s="42">
        <f t="shared" si="11"/>
        <v>4.0750000000000001E-2</v>
      </c>
      <c r="O263" s="42">
        <f t="shared" si="11"/>
        <v>-1.9819041369999998E-2</v>
      </c>
      <c r="Q263">
        <v>158</v>
      </c>
      <c r="R263" s="43">
        <v>43702</v>
      </c>
      <c r="S263" s="44">
        <v>0.5</v>
      </c>
      <c r="T263" s="45">
        <v>-193.6</v>
      </c>
      <c r="U263" s="42">
        <v>-2.35</v>
      </c>
      <c r="V263" s="46">
        <f t="shared" si="12"/>
        <v>-1.9359999999999999</v>
      </c>
      <c r="W263" s="42">
        <f t="shared" si="12"/>
        <v>-2.35E-2</v>
      </c>
    </row>
    <row r="264" spans="1:23" x14ac:dyDescent="0.2">
      <c r="A264">
        <v>136</v>
      </c>
      <c r="B264" s="43">
        <v>43701</v>
      </c>
      <c r="C264" s="44">
        <v>0.5</v>
      </c>
      <c r="D264">
        <v>-48.85</v>
      </c>
      <c r="E264" s="42">
        <v>-2.615703190000005</v>
      </c>
      <c r="F264" s="42">
        <f t="shared" si="10"/>
        <v>-0.48849999999999999</v>
      </c>
      <c r="G264" s="42">
        <f t="shared" si="10"/>
        <v>-2.6157031900000051E-2</v>
      </c>
      <c r="I264">
        <v>139</v>
      </c>
      <c r="J264" s="43">
        <v>43689</v>
      </c>
      <c r="K264" s="44">
        <v>0.5</v>
      </c>
      <c r="L264" s="47">
        <v>2.7919999999999998</v>
      </c>
      <c r="M264" s="42">
        <v>-2.0233385529999999</v>
      </c>
      <c r="N264" s="42">
        <f t="shared" si="11"/>
        <v>2.7919999999999997E-2</v>
      </c>
      <c r="O264" s="42">
        <f t="shared" si="11"/>
        <v>-2.0233385529999998E-2</v>
      </c>
      <c r="Q264">
        <v>159</v>
      </c>
      <c r="R264" s="43">
        <v>43703</v>
      </c>
      <c r="S264" s="44">
        <v>0.5</v>
      </c>
      <c r="T264" s="45">
        <v>-194.3</v>
      </c>
      <c r="U264" s="42">
        <v>-2.4</v>
      </c>
      <c r="V264" s="46">
        <f t="shared" si="12"/>
        <v>-1.9430000000000001</v>
      </c>
      <c r="W264" s="42">
        <f t="shared" si="12"/>
        <v>-2.4E-2</v>
      </c>
    </row>
    <row r="265" spans="1:23" x14ac:dyDescent="0.2">
      <c r="A265">
        <v>137</v>
      </c>
      <c r="B265" s="43">
        <v>43702</v>
      </c>
      <c r="C265" s="44">
        <v>0.5</v>
      </c>
      <c r="D265">
        <v>-49.957999999999998</v>
      </c>
      <c r="E265" s="42">
        <v>-2.6657031900000021</v>
      </c>
      <c r="F265" s="42">
        <f t="shared" si="10"/>
        <v>-0.49957999999999997</v>
      </c>
      <c r="G265" s="42">
        <f t="shared" si="10"/>
        <v>-2.665703190000002E-2</v>
      </c>
      <c r="I265">
        <v>140</v>
      </c>
      <c r="J265" s="43">
        <v>43690</v>
      </c>
      <c r="K265" s="44">
        <v>0.5</v>
      </c>
      <c r="L265" s="47">
        <v>1.2170000000000001</v>
      </c>
      <c r="M265" s="42">
        <v>-2.0781159300000001</v>
      </c>
      <c r="N265" s="42">
        <f t="shared" si="11"/>
        <v>1.217E-2</v>
      </c>
      <c r="O265" s="42">
        <f t="shared" si="11"/>
        <v>-2.0781159300000001E-2</v>
      </c>
      <c r="Q265">
        <v>160</v>
      </c>
      <c r="R265" s="43">
        <v>43704</v>
      </c>
      <c r="S265" s="44">
        <v>0.5</v>
      </c>
      <c r="T265" s="45">
        <v>-194.4</v>
      </c>
      <c r="U265" s="42">
        <v>-2.4500000000000002</v>
      </c>
      <c r="V265" s="46">
        <f t="shared" si="12"/>
        <v>-1.944</v>
      </c>
      <c r="W265" s="42">
        <f t="shared" si="12"/>
        <v>-2.4500000000000001E-2</v>
      </c>
    </row>
    <row r="266" spans="1:23" x14ac:dyDescent="0.2">
      <c r="A266">
        <v>138</v>
      </c>
      <c r="B266" s="43">
        <v>43703</v>
      </c>
      <c r="C266" s="44">
        <v>0.5</v>
      </c>
      <c r="D266">
        <v>-51.707999999999998</v>
      </c>
      <c r="E266" s="42">
        <v>-2.7157031900000028</v>
      </c>
      <c r="F266" s="42">
        <f t="shared" si="10"/>
        <v>-0.51707999999999998</v>
      </c>
      <c r="G266" s="42">
        <f t="shared" si="10"/>
        <v>-2.7157031900000028E-2</v>
      </c>
      <c r="I266">
        <v>141</v>
      </c>
      <c r="J266" s="43">
        <v>43691</v>
      </c>
      <c r="K266" s="44">
        <v>0.5</v>
      </c>
      <c r="L266" s="47">
        <v>0.16700000000000001</v>
      </c>
      <c r="M266" s="42">
        <v>-2.1035070249999999</v>
      </c>
      <c r="N266" s="42">
        <f t="shared" si="11"/>
        <v>1.67E-3</v>
      </c>
      <c r="O266" s="42">
        <f t="shared" si="11"/>
        <v>-2.1035070249999999E-2</v>
      </c>
      <c r="Q266">
        <v>161</v>
      </c>
      <c r="R266" s="43">
        <v>43705</v>
      </c>
      <c r="S266" s="44">
        <v>0.5</v>
      </c>
      <c r="T266" s="45">
        <v>-194.9</v>
      </c>
      <c r="U266" s="42">
        <v>-2.5</v>
      </c>
      <c r="V266" s="46">
        <f t="shared" si="12"/>
        <v>-1.9490000000000001</v>
      </c>
      <c r="W266" s="42">
        <f t="shared" si="12"/>
        <v>-2.5000000000000001E-2</v>
      </c>
    </row>
    <row r="267" spans="1:23" x14ac:dyDescent="0.2">
      <c r="A267">
        <v>139</v>
      </c>
      <c r="B267" s="43">
        <v>43704</v>
      </c>
      <c r="C267" s="44">
        <v>0.5</v>
      </c>
      <c r="D267">
        <v>-53.167000000000002</v>
      </c>
      <c r="E267" s="42">
        <v>-2.7657031900000035</v>
      </c>
      <c r="F267" s="42">
        <f t="shared" ref="F267:G330" si="13">D267/100</f>
        <v>-0.53166999999999998</v>
      </c>
      <c r="G267" s="42">
        <f t="shared" si="13"/>
        <v>-2.7657031900000035E-2</v>
      </c>
      <c r="I267">
        <v>142</v>
      </c>
      <c r="J267" s="43">
        <v>43692</v>
      </c>
      <c r="K267" s="44">
        <v>0.5</v>
      </c>
      <c r="L267" s="47">
        <v>8.1579999999999995</v>
      </c>
      <c r="M267" s="42">
        <v>-2.203507025</v>
      </c>
      <c r="N267" s="42">
        <f t="shared" si="11"/>
        <v>8.158E-2</v>
      </c>
      <c r="O267" s="42">
        <f t="shared" si="11"/>
        <v>-2.203507025E-2</v>
      </c>
      <c r="Q267">
        <v>162</v>
      </c>
      <c r="R267" s="43">
        <v>43706</v>
      </c>
      <c r="S267" s="44">
        <v>0.5</v>
      </c>
      <c r="T267" s="45">
        <v>-195.3</v>
      </c>
      <c r="U267" s="42">
        <v>-2.4500000000000002</v>
      </c>
      <c r="V267" s="46">
        <f t="shared" si="12"/>
        <v>-1.9530000000000001</v>
      </c>
      <c r="W267" s="42">
        <f t="shared" si="12"/>
        <v>-2.4500000000000001E-2</v>
      </c>
    </row>
    <row r="268" spans="1:23" x14ac:dyDescent="0.2">
      <c r="A268">
        <v>140</v>
      </c>
      <c r="B268" s="43">
        <v>43705</v>
      </c>
      <c r="C268" s="44">
        <v>0.5</v>
      </c>
      <c r="D268">
        <v>-54.158000000000001</v>
      </c>
      <c r="E268" s="42">
        <v>-2.7157031900000028</v>
      </c>
      <c r="F268" s="42">
        <f t="shared" si="13"/>
        <v>-0.54158000000000006</v>
      </c>
      <c r="G268" s="42">
        <f t="shared" si="13"/>
        <v>-2.7157031900000028E-2</v>
      </c>
      <c r="I268">
        <v>143</v>
      </c>
      <c r="J268" s="43">
        <v>43693</v>
      </c>
      <c r="K268" s="44">
        <v>0.5</v>
      </c>
      <c r="L268" s="47">
        <v>6.7</v>
      </c>
      <c r="M268" s="42">
        <v>-1.9275503460000001</v>
      </c>
      <c r="N268" s="42">
        <f t="shared" si="11"/>
        <v>6.7000000000000004E-2</v>
      </c>
      <c r="O268" s="42">
        <f t="shared" si="11"/>
        <v>-1.9275503459999999E-2</v>
      </c>
      <c r="Q268">
        <v>163</v>
      </c>
      <c r="R268" s="43">
        <v>43707</v>
      </c>
      <c r="S268" s="44">
        <v>0.5</v>
      </c>
      <c r="T268" s="45">
        <v>-196.3</v>
      </c>
      <c r="U268" s="42">
        <v>-2.5</v>
      </c>
      <c r="V268" s="46">
        <f t="shared" si="12"/>
        <v>-1.9630000000000001</v>
      </c>
      <c r="W268" s="42">
        <f t="shared" si="12"/>
        <v>-2.5000000000000001E-2</v>
      </c>
    </row>
    <row r="269" spans="1:23" x14ac:dyDescent="0.2">
      <c r="A269">
        <v>141</v>
      </c>
      <c r="B269" s="43">
        <v>43706</v>
      </c>
      <c r="C269" s="44">
        <v>0.5</v>
      </c>
      <c r="D269">
        <v>-55.732999999999997</v>
      </c>
      <c r="E269" s="42">
        <v>-2.7657031900000035</v>
      </c>
      <c r="F269" s="42">
        <f t="shared" si="13"/>
        <v>-0.55732999999999999</v>
      </c>
      <c r="G269" s="42">
        <f t="shared" si="13"/>
        <v>-2.7657031900000035E-2</v>
      </c>
      <c r="I269">
        <v>144</v>
      </c>
      <c r="J269" s="43">
        <v>43694</v>
      </c>
      <c r="K269" s="44">
        <v>0.5</v>
      </c>
      <c r="L269" s="47">
        <v>5.125</v>
      </c>
      <c r="M269" s="42">
        <v>-1.94179824</v>
      </c>
      <c r="N269" s="42">
        <f t="shared" si="11"/>
        <v>5.1249999999999997E-2</v>
      </c>
      <c r="O269" s="42">
        <f t="shared" si="11"/>
        <v>-1.9417982399999999E-2</v>
      </c>
      <c r="Q269">
        <v>164</v>
      </c>
      <c r="R269" s="43">
        <v>43708</v>
      </c>
      <c r="S269" s="44">
        <v>0.5</v>
      </c>
      <c r="T269" s="45">
        <v>-197.9</v>
      </c>
      <c r="U269" s="42">
        <v>-2.5499999999999998</v>
      </c>
      <c r="V269" s="46">
        <f t="shared" si="12"/>
        <v>-1.9790000000000001</v>
      </c>
      <c r="W269" s="42">
        <f t="shared" si="12"/>
        <v>-2.5499999999999998E-2</v>
      </c>
    </row>
    <row r="270" spans="1:23" x14ac:dyDescent="0.2">
      <c r="A270">
        <v>142</v>
      </c>
      <c r="B270" s="43">
        <v>43707</v>
      </c>
      <c r="C270" s="44">
        <v>0.5</v>
      </c>
      <c r="D270">
        <v>-57.192</v>
      </c>
      <c r="E270" s="42">
        <v>-2.8157031900000042</v>
      </c>
      <c r="F270" s="42">
        <f t="shared" si="13"/>
        <v>-0.57191999999999998</v>
      </c>
      <c r="G270" s="42">
        <f t="shared" si="13"/>
        <v>-2.8157031900000042E-2</v>
      </c>
      <c r="I270">
        <v>145</v>
      </c>
      <c r="J270" s="43">
        <v>43695</v>
      </c>
      <c r="K270" s="44">
        <v>0.5</v>
      </c>
      <c r="L270" s="47">
        <v>8.9169999999999998</v>
      </c>
      <c r="M270" s="42">
        <v>-1.9572013690000001</v>
      </c>
      <c r="N270" s="42">
        <f t="shared" ref="N270:O333" si="14">L270/100</f>
        <v>8.9169999999999999E-2</v>
      </c>
      <c r="O270" s="42">
        <f t="shared" si="14"/>
        <v>-1.9572013690000001E-2</v>
      </c>
      <c r="Q270">
        <v>165</v>
      </c>
      <c r="R270" s="43">
        <v>43709</v>
      </c>
      <c r="S270" s="44">
        <v>0.5</v>
      </c>
      <c r="T270" s="45">
        <v>-199.2</v>
      </c>
      <c r="U270" s="42">
        <v>-2.6</v>
      </c>
      <c r="V270" s="46">
        <f t="shared" si="12"/>
        <v>-1.992</v>
      </c>
      <c r="W270" s="42">
        <f t="shared" si="12"/>
        <v>-2.6000000000000002E-2</v>
      </c>
    </row>
    <row r="271" spans="1:23" x14ac:dyDescent="0.2">
      <c r="A271">
        <v>143</v>
      </c>
      <c r="B271" s="43">
        <v>43708</v>
      </c>
      <c r="C271" s="44">
        <v>0.5</v>
      </c>
      <c r="D271">
        <v>-58.942</v>
      </c>
      <c r="E271" s="42">
        <v>-2.8157031900000042</v>
      </c>
      <c r="F271" s="42">
        <f t="shared" si="13"/>
        <v>-0.58942000000000005</v>
      </c>
      <c r="G271" s="42">
        <f t="shared" si="13"/>
        <v>-2.8157031900000042E-2</v>
      </c>
      <c r="I271">
        <v>146</v>
      </c>
      <c r="J271" s="43">
        <v>43696</v>
      </c>
      <c r="K271" s="44">
        <v>0.5</v>
      </c>
      <c r="L271" s="47">
        <v>6.5830000000000002</v>
      </c>
      <c r="M271" s="42">
        <v>-1.9104143650000001</v>
      </c>
      <c r="N271" s="42">
        <f t="shared" si="14"/>
        <v>6.583E-2</v>
      </c>
      <c r="O271" s="42">
        <f t="shared" si="14"/>
        <v>-1.9104143650000002E-2</v>
      </c>
      <c r="Q271">
        <v>166</v>
      </c>
      <c r="R271" s="43">
        <v>43710</v>
      </c>
      <c r="S271" s="44">
        <v>0.5</v>
      </c>
      <c r="T271" s="45">
        <v>-201.29999999999998</v>
      </c>
      <c r="U271" s="42">
        <v>-2.65</v>
      </c>
      <c r="V271" s="46">
        <f t="shared" si="12"/>
        <v>-2.0129999999999999</v>
      </c>
      <c r="W271" s="42">
        <f t="shared" si="12"/>
        <v>-2.6499999999999999E-2</v>
      </c>
    </row>
    <row r="272" spans="1:23" x14ac:dyDescent="0.2">
      <c r="A272">
        <v>144</v>
      </c>
      <c r="B272" s="43">
        <v>43709</v>
      </c>
      <c r="C272" s="44">
        <v>0.5</v>
      </c>
      <c r="D272">
        <v>-61.158000000000001</v>
      </c>
      <c r="E272" s="42">
        <v>-2.865703190000005</v>
      </c>
      <c r="F272" s="42">
        <f t="shared" si="13"/>
        <v>-0.61158000000000001</v>
      </c>
      <c r="G272" s="42">
        <f t="shared" si="13"/>
        <v>-2.865703190000005E-2</v>
      </c>
      <c r="I272">
        <v>147</v>
      </c>
      <c r="J272" s="43">
        <v>43697</v>
      </c>
      <c r="K272" s="44">
        <v>0.5</v>
      </c>
      <c r="L272" s="47">
        <v>5.65</v>
      </c>
      <c r="M272" s="42">
        <v>-1.9252398770000001</v>
      </c>
      <c r="N272" s="42">
        <f t="shared" si="14"/>
        <v>5.6500000000000002E-2</v>
      </c>
      <c r="O272" s="42">
        <f t="shared" si="14"/>
        <v>-1.9252398770000002E-2</v>
      </c>
      <c r="Q272">
        <v>167</v>
      </c>
      <c r="R272" s="43">
        <v>43711</v>
      </c>
      <c r="S272" s="44">
        <v>0.5</v>
      </c>
      <c r="T272" s="45">
        <v>-202.8</v>
      </c>
      <c r="U272" s="42">
        <v>-2.7</v>
      </c>
      <c r="V272" s="46">
        <f t="shared" si="12"/>
        <v>-2.028</v>
      </c>
      <c r="W272" s="42">
        <f t="shared" si="12"/>
        <v>-2.7000000000000003E-2</v>
      </c>
    </row>
    <row r="273" spans="1:23" x14ac:dyDescent="0.2">
      <c r="A273">
        <v>145</v>
      </c>
      <c r="B273" s="43">
        <v>43710</v>
      </c>
      <c r="C273" s="44">
        <v>0.5</v>
      </c>
      <c r="D273">
        <v>-63.725000000000001</v>
      </c>
      <c r="E273" s="42">
        <v>-2.9157031900000021</v>
      </c>
      <c r="F273" s="42">
        <f t="shared" si="13"/>
        <v>-0.63724999999999998</v>
      </c>
      <c r="G273" s="42">
        <f t="shared" si="13"/>
        <v>-2.9157031900000022E-2</v>
      </c>
      <c r="I273">
        <v>148</v>
      </c>
      <c r="J273" s="43">
        <v>43698</v>
      </c>
      <c r="K273" s="44">
        <v>0.5</v>
      </c>
      <c r="L273" s="47">
        <v>6.8170000000000002</v>
      </c>
      <c r="M273" s="42">
        <v>-1.990318096</v>
      </c>
      <c r="N273" s="42">
        <f t="shared" si="14"/>
        <v>6.8170000000000008E-2</v>
      </c>
      <c r="O273" s="42">
        <f t="shared" si="14"/>
        <v>-1.9903180959999999E-2</v>
      </c>
      <c r="Q273">
        <v>168</v>
      </c>
      <c r="R273" s="43">
        <v>43712</v>
      </c>
      <c r="S273" s="44">
        <v>0.5</v>
      </c>
      <c r="T273" s="45">
        <v>-204.8</v>
      </c>
      <c r="U273" s="42">
        <v>-2.7</v>
      </c>
      <c r="V273" s="46">
        <f t="shared" si="12"/>
        <v>-2.048</v>
      </c>
      <c r="W273" s="42">
        <f t="shared" si="12"/>
        <v>-2.7000000000000003E-2</v>
      </c>
    </row>
    <row r="274" spans="1:23" x14ac:dyDescent="0.2">
      <c r="A274">
        <v>146</v>
      </c>
      <c r="B274" s="43">
        <v>43711</v>
      </c>
      <c r="C274" s="44">
        <v>0.5</v>
      </c>
      <c r="D274">
        <v>-66.174999999999997</v>
      </c>
      <c r="E274" s="42">
        <v>-3.0157031900000035</v>
      </c>
      <c r="F274" s="42">
        <f t="shared" si="13"/>
        <v>-0.66174999999999995</v>
      </c>
      <c r="G274" s="42">
        <f t="shared" si="13"/>
        <v>-3.0157031900000034E-2</v>
      </c>
      <c r="I274">
        <v>149</v>
      </c>
      <c r="J274" s="43">
        <v>43699</v>
      </c>
      <c r="K274" s="44">
        <v>0.5</v>
      </c>
      <c r="L274" s="47">
        <v>4.8920000000000003</v>
      </c>
      <c r="M274" s="42">
        <v>-1.973182115</v>
      </c>
      <c r="N274" s="42">
        <f t="shared" si="14"/>
        <v>4.8920000000000005E-2</v>
      </c>
      <c r="O274" s="42">
        <f t="shared" si="14"/>
        <v>-1.9731821149999999E-2</v>
      </c>
      <c r="Q274">
        <v>169</v>
      </c>
      <c r="R274" s="43">
        <v>43713</v>
      </c>
      <c r="S274" s="44">
        <v>0.5</v>
      </c>
      <c r="T274" s="45">
        <v>-205.79999999999998</v>
      </c>
      <c r="U274" s="42">
        <v>-2.75</v>
      </c>
      <c r="V274" s="46">
        <f t="shared" si="12"/>
        <v>-2.0579999999999998</v>
      </c>
      <c r="W274" s="42">
        <f t="shared" si="12"/>
        <v>-2.75E-2</v>
      </c>
    </row>
    <row r="275" spans="1:23" x14ac:dyDescent="0.2">
      <c r="A275">
        <v>147</v>
      </c>
      <c r="B275" s="43">
        <v>43712</v>
      </c>
      <c r="C275" s="44">
        <v>0.5</v>
      </c>
      <c r="D275">
        <v>-67.808000000000007</v>
      </c>
      <c r="E275" s="42">
        <v>-3.0657031900000042</v>
      </c>
      <c r="F275" s="42">
        <f t="shared" si="13"/>
        <v>-0.67808000000000002</v>
      </c>
      <c r="G275" s="42">
        <f t="shared" si="13"/>
        <v>-3.0657031900000041E-2</v>
      </c>
      <c r="I275">
        <v>150</v>
      </c>
      <c r="J275" s="43">
        <v>43700</v>
      </c>
      <c r="K275" s="44">
        <v>0.5</v>
      </c>
      <c r="L275" s="47">
        <v>4.7169999999999996</v>
      </c>
      <c r="M275" s="42">
        <v>-1.9897404780000001</v>
      </c>
      <c r="N275" s="42">
        <f t="shared" si="14"/>
        <v>4.7169999999999997E-2</v>
      </c>
      <c r="O275" s="42">
        <f t="shared" si="14"/>
        <v>-1.9897404780000003E-2</v>
      </c>
      <c r="Q275">
        <v>170</v>
      </c>
      <c r="R275" s="43">
        <v>43714</v>
      </c>
      <c r="S275" s="44">
        <v>0.5</v>
      </c>
      <c r="T275" s="45">
        <v>-206.99999999999997</v>
      </c>
      <c r="U275" s="42">
        <v>-2.8</v>
      </c>
      <c r="V275" s="46">
        <f t="shared" si="12"/>
        <v>-2.0699999999999998</v>
      </c>
      <c r="W275" s="42">
        <f t="shared" si="12"/>
        <v>-2.7999999999999997E-2</v>
      </c>
    </row>
    <row r="276" spans="1:23" x14ac:dyDescent="0.2">
      <c r="A276">
        <v>148</v>
      </c>
      <c r="B276" s="43">
        <v>43713</v>
      </c>
      <c r="C276" s="44">
        <v>0.5</v>
      </c>
      <c r="D276">
        <v>-70.492000000000004</v>
      </c>
      <c r="E276" s="42">
        <v>-3.0657031900000042</v>
      </c>
      <c r="F276" s="42">
        <f t="shared" si="13"/>
        <v>-0.70491999999999999</v>
      </c>
      <c r="G276" s="42">
        <f t="shared" si="13"/>
        <v>-3.0657031900000041E-2</v>
      </c>
      <c r="I276">
        <v>151</v>
      </c>
      <c r="J276" s="43">
        <v>43701</v>
      </c>
      <c r="K276" s="44">
        <v>0.5</v>
      </c>
      <c r="L276" s="47">
        <v>3.7829999999999999</v>
      </c>
      <c r="M276" s="42">
        <v>-2.0333987210000002</v>
      </c>
      <c r="N276" s="42">
        <f t="shared" si="14"/>
        <v>3.7830000000000003E-2</v>
      </c>
      <c r="O276" s="42">
        <f t="shared" si="14"/>
        <v>-2.0333987210000001E-2</v>
      </c>
      <c r="Q276">
        <v>171</v>
      </c>
      <c r="R276" s="43">
        <v>43715</v>
      </c>
      <c r="S276" s="44">
        <v>0.5</v>
      </c>
      <c r="T276" s="45">
        <v>-209.90000000000003</v>
      </c>
      <c r="U276" s="42">
        <v>-2.9</v>
      </c>
      <c r="V276" s="46">
        <f t="shared" si="12"/>
        <v>-2.0990000000000002</v>
      </c>
      <c r="W276" s="42">
        <f t="shared" si="12"/>
        <v>-2.8999999999999998E-2</v>
      </c>
    </row>
    <row r="277" spans="1:23" x14ac:dyDescent="0.2">
      <c r="A277">
        <v>149</v>
      </c>
      <c r="B277" s="43">
        <v>43714</v>
      </c>
      <c r="C277" s="44">
        <v>0.5</v>
      </c>
      <c r="D277">
        <v>-72.825000000000003</v>
      </c>
      <c r="E277" s="42">
        <v>-3.1657031900000021</v>
      </c>
      <c r="F277" s="42">
        <f t="shared" si="13"/>
        <v>-0.72825000000000006</v>
      </c>
      <c r="G277" s="42">
        <f t="shared" si="13"/>
        <v>-3.1657031900000021E-2</v>
      </c>
      <c r="I277">
        <v>152</v>
      </c>
      <c r="J277" s="43">
        <v>43702</v>
      </c>
      <c r="K277" s="44">
        <v>0.5</v>
      </c>
      <c r="L277" s="47">
        <v>3.2</v>
      </c>
      <c r="M277" s="42">
        <v>-2.053507025</v>
      </c>
      <c r="N277" s="42">
        <f t="shared" si="14"/>
        <v>3.2000000000000001E-2</v>
      </c>
      <c r="O277" s="42">
        <f t="shared" si="14"/>
        <v>-2.0535070249999999E-2</v>
      </c>
      <c r="Q277">
        <v>172</v>
      </c>
      <c r="R277" s="43">
        <v>43716</v>
      </c>
      <c r="S277" s="44">
        <v>0.5</v>
      </c>
      <c r="T277" s="45">
        <v>-210.2</v>
      </c>
      <c r="U277" s="42">
        <v>-2.9</v>
      </c>
      <c r="V277" s="46">
        <f t="shared" si="12"/>
        <v>-2.1019999999999999</v>
      </c>
      <c r="W277" s="42">
        <f t="shared" si="12"/>
        <v>-2.8999999999999998E-2</v>
      </c>
    </row>
    <row r="278" spans="1:23" x14ac:dyDescent="0.2">
      <c r="A278">
        <v>150</v>
      </c>
      <c r="B278" s="43">
        <v>43715</v>
      </c>
      <c r="C278" s="44">
        <v>0.5</v>
      </c>
      <c r="D278">
        <v>-74.691999999999993</v>
      </c>
      <c r="E278" s="42">
        <v>-3.2657031900000035</v>
      </c>
      <c r="F278" s="42">
        <f t="shared" si="13"/>
        <v>-0.74691999999999992</v>
      </c>
      <c r="G278" s="42">
        <f t="shared" si="13"/>
        <v>-3.2657031900000036E-2</v>
      </c>
      <c r="I278">
        <v>153</v>
      </c>
      <c r="J278" s="43">
        <v>43703</v>
      </c>
      <c r="K278" s="44">
        <v>0.5</v>
      </c>
      <c r="L278" s="47">
        <v>1.3919999999999999</v>
      </c>
      <c r="M278" s="42">
        <v>-2.0862025719999999</v>
      </c>
      <c r="N278" s="42">
        <f t="shared" si="14"/>
        <v>1.3919999999999998E-2</v>
      </c>
      <c r="O278" s="42">
        <f t="shared" si="14"/>
        <v>-2.086202572E-2</v>
      </c>
      <c r="Q278">
        <v>173</v>
      </c>
      <c r="R278" s="43">
        <v>43717</v>
      </c>
      <c r="S278" s="44">
        <v>0.5</v>
      </c>
      <c r="T278" s="45">
        <v>-210.5</v>
      </c>
      <c r="U278" s="42">
        <v>-3</v>
      </c>
      <c r="V278" s="46">
        <f t="shared" si="12"/>
        <v>-2.105</v>
      </c>
      <c r="W278" s="42">
        <f t="shared" si="12"/>
        <v>-0.03</v>
      </c>
    </row>
    <row r="279" spans="1:23" x14ac:dyDescent="0.2">
      <c r="A279">
        <v>151</v>
      </c>
      <c r="B279" s="43">
        <v>43716</v>
      </c>
      <c r="C279" s="44">
        <v>0.5</v>
      </c>
      <c r="D279">
        <v>-77.141999999999996</v>
      </c>
      <c r="E279" s="42">
        <v>-3.365703190000005</v>
      </c>
      <c r="F279" s="42">
        <f t="shared" si="13"/>
        <v>-0.77141999999999999</v>
      </c>
      <c r="G279" s="42">
        <f t="shared" si="13"/>
        <v>-3.3657031900000051E-2</v>
      </c>
      <c r="I279">
        <v>154</v>
      </c>
      <c r="J279" s="43">
        <v>43704</v>
      </c>
      <c r="K279" s="44">
        <v>0.5</v>
      </c>
      <c r="L279" s="47">
        <v>0.51700000000000002</v>
      </c>
      <c r="M279" s="42">
        <v>-2.1170088300000001</v>
      </c>
      <c r="N279" s="42">
        <f t="shared" si="14"/>
        <v>5.1700000000000001E-3</v>
      </c>
      <c r="O279" s="42">
        <f t="shared" si="14"/>
        <v>-2.1170088300000001E-2</v>
      </c>
      <c r="Q279">
        <v>174</v>
      </c>
      <c r="R279" s="43">
        <v>43718</v>
      </c>
      <c r="S279" s="44">
        <v>0.5</v>
      </c>
      <c r="T279" s="45">
        <v>-210.70000000000002</v>
      </c>
      <c r="U279" s="42">
        <v>-3.05</v>
      </c>
      <c r="V279" s="46">
        <f t="shared" si="12"/>
        <v>-2.1070000000000002</v>
      </c>
      <c r="W279" s="42">
        <f t="shared" si="12"/>
        <v>-3.0499999999999999E-2</v>
      </c>
    </row>
    <row r="280" spans="1:23" x14ac:dyDescent="0.2">
      <c r="A280">
        <v>152</v>
      </c>
      <c r="B280" s="43">
        <v>43717</v>
      </c>
      <c r="C280" s="44">
        <v>0.5</v>
      </c>
      <c r="D280">
        <v>-79.533000000000001</v>
      </c>
      <c r="E280" s="42">
        <v>-3.365703190000005</v>
      </c>
      <c r="F280" s="42">
        <f t="shared" si="13"/>
        <v>-0.79532999999999998</v>
      </c>
      <c r="G280" s="42">
        <f t="shared" si="13"/>
        <v>-3.3657031900000051E-2</v>
      </c>
      <c r="I280">
        <v>155</v>
      </c>
      <c r="J280" s="43">
        <v>43705</v>
      </c>
      <c r="K280" s="44">
        <v>0.5</v>
      </c>
      <c r="L280" s="47">
        <v>6.0579999999999998</v>
      </c>
      <c r="M280" s="42">
        <v>-2.1683686369999999</v>
      </c>
      <c r="N280" s="42">
        <f t="shared" si="14"/>
        <v>6.0579999999999995E-2</v>
      </c>
      <c r="O280" s="42">
        <f t="shared" si="14"/>
        <v>-2.168368637E-2</v>
      </c>
      <c r="Q280">
        <v>175</v>
      </c>
      <c r="R280" s="43">
        <v>43719</v>
      </c>
      <c r="S280" s="44">
        <v>0.5</v>
      </c>
      <c r="T280" s="45">
        <v>-211.3</v>
      </c>
      <c r="U280" s="42">
        <v>-3.15</v>
      </c>
      <c r="V280" s="46">
        <f t="shared" si="12"/>
        <v>-2.113</v>
      </c>
      <c r="W280" s="42">
        <f t="shared" si="12"/>
        <v>-3.15E-2</v>
      </c>
    </row>
    <row r="281" spans="1:23" x14ac:dyDescent="0.2">
      <c r="A281">
        <v>153</v>
      </c>
      <c r="B281" s="43">
        <v>43718</v>
      </c>
      <c r="C281" s="44">
        <v>0.5</v>
      </c>
      <c r="D281">
        <v>-81.05</v>
      </c>
      <c r="E281" s="42">
        <v>-3.4657031900000028</v>
      </c>
      <c r="F281" s="42">
        <f t="shared" si="13"/>
        <v>-0.8105</v>
      </c>
      <c r="G281" s="42">
        <f t="shared" si="13"/>
        <v>-3.4657031900000031E-2</v>
      </c>
      <c r="I281">
        <v>156</v>
      </c>
      <c r="J281" s="43">
        <v>43706</v>
      </c>
      <c r="K281" s="44">
        <v>0.5</v>
      </c>
      <c r="L281" s="47">
        <v>4.3079999999999998</v>
      </c>
      <c r="M281" s="42">
        <v>-2.0327007670000001</v>
      </c>
      <c r="N281" s="42">
        <f t="shared" si="14"/>
        <v>4.308E-2</v>
      </c>
      <c r="O281" s="42">
        <f t="shared" si="14"/>
        <v>-2.0327007670000001E-2</v>
      </c>
      <c r="Q281">
        <v>176</v>
      </c>
      <c r="R281" s="43">
        <v>43720</v>
      </c>
      <c r="S281" s="44">
        <v>0.5</v>
      </c>
      <c r="T281" s="45">
        <v>-211.79999999999998</v>
      </c>
      <c r="U281" s="42">
        <v>-3.1</v>
      </c>
      <c r="V281" s="46">
        <f t="shared" si="12"/>
        <v>-2.1179999999999999</v>
      </c>
      <c r="W281" s="42">
        <f t="shared" si="12"/>
        <v>-3.1E-2</v>
      </c>
    </row>
    <row r="282" spans="1:23" x14ac:dyDescent="0.2">
      <c r="A282">
        <v>154</v>
      </c>
      <c r="B282" s="43">
        <v>43719</v>
      </c>
      <c r="C282" s="44">
        <v>0.5</v>
      </c>
      <c r="D282">
        <v>-83.266999999999996</v>
      </c>
      <c r="E282" s="42">
        <v>-3.5657031900000042</v>
      </c>
      <c r="F282" s="42">
        <f t="shared" si="13"/>
        <v>-0.83266999999999991</v>
      </c>
      <c r="G282" s="42">
        <f t="shared" si="13"/>
        <v>-3.5657031900000045E-2</v>
      </c>
      <c r="I282">
        <v>157</v>
      </c>
      <c r="J282" s="43">
        <v>43707</v>
      </c>
      <c r="K282" s="44">
        <v>0.5</v>
      </c>
      <c r="L282" s="47">
        <v>2.85</v>
      </c>
      <c r="M282" s="42">
        <v>-2.0493794680000001</v>
      </c>
      <c r="N282" s="42">
        <f t="shared" si="14"/>
        <v>2.8500000000000001E-2</v>
      </c>
      <c r="O282" s="42">
        <f t="shared" si="14"/>
        <v>-2.049379468E-2</v>
      </c>
      <c r="Q282">
        <v>177</v>
      </c>
      <c r="R282" s="43">
        <v>43721</v>
      </c>
      <c r="S282" s="44">
        <v>0.5</v>
      </c>
      <c r="T282" s="45">
        <v>-211.39999999999998</v>
      </c>
      <c r="U282" s="42">
        <v>-3.15</v>
      </c>
      <c r="V282" s="46">
        <f t="shared" si="12"/>
        <v>-2.1139999999999999</v>
      </c>
      <c r="W282" s="42">
        <f t="shared" si="12"/>
        <v>-3.15E-2</v>
      </c>
    </row>
    <row r="283" spans="1:23" x14ac:dyDescent="0.2">
      <c r="A283">
        <v>155</v>
      </c>
      <c r="B283" s="43">
        <v>43720</v>
      </c>
      <c r="C283" s="44">
        <v>0.5</v>
      </c>
      <c r="D283">
        <v>-85.483000000000004</v>
      </c>
      <c r="E283" s="42">
        <v>-3.6657031900000021</v>
      </c>
      <c r="F283" s="42">
        <f t="shared" si="13"/>
        <v>-0.85483000000000009</v>
      </c>
      <c r="G283" s="42">
        <f t="shared" si="13"/>
        <v>-3.6657031900000019E-2</v>
      </c>
      <c r="I283">
        <v>158</v>
      </c>
      <c r="J283" s="43">
        <v>43708</v>
      </c>
      <c r="K283" s="44">
        <v>0.5</v>
      </c>
      <c r="L283" s="47">
        <v>0.75</v>
      </c>
      <c r="M283" s="42">
        <v>-2.094385484</v>
      </c>
      <c r="N283" s="42">
        <f t="shared" si="14"/>
        <v>7.4999999999999997E-3</v>
      </c>
      <c r="O283" s="42">
        <f t="shared" si="14"/>
        <v>-2.0943854840000001E-2</v>
      </c>
      <c r="Q283">
        <v>178</v>
      </c>
      <c r="R283" s="43">
        <v>43722</v>
      </c>
      <c r="S283" s="44">
        <v>0.5</v>
      </c>
      <c r="T283" s="45">
        <v>-211.39999999999998</v>
      </c>
      <c r="U283" s="42">
        <v>-3.2</v>
      </c>
      <c r="V283" s="46">
        <f t="shared" si="12"/>
        <v>-2.1139999999999999</v>
      </c>
      <c r="W283" s="42">
        <f t="shared" si="12"/>
        <v>-3.2000000000000001E-2</v>
      </c>
    </row>
    <row r="284" spans="1:23" x14ac:dyDescent="0.2">
      <c r="A284">
        <v>156</v>
      </c>
      <c r="B284" s="43">
        <v>43721</v>
      </c>
      <c r="C284" s="44">
        <v>0.5</v>
      </c>
      <c r="D284">
        <v>-87.7</v>
      </c>
      <c r="E284" s="42">
        <v>-3.7500411900000046</v>
      </c>
      <c r="F284" s="42">
        <f t="shared" si="13"/>
        <v>-0.877</v>
      </c>
      <c r="G284" s="42">
        <f t="shared" si="13"/>
        <v>-3.7500411900000044E-2</v>
      </c>
      <c r="I284">
        <v>159</v>
      </c>
      <c r="J284" s="43">
        <v>43709</v>
      </c>
      <c r="K284" s="44">
        <v>0.5</v>
      </c>
      <c r="L284" s="47">
        <v>-0.82499999999999996</v>
      </c>
      <c r="M284" s="42">
        <v>-2.1696779030000002</v>
      </c>
      <c r="N284" s="42">
        <f t="shared" si="14"/>
        <v>-8.2500000000000004E-3</v>
      </c>
      <c r="O284" s="42">
        <f t="shared" si="14"/>
        <v>-2.1696779030000002E-2</v>
      </c>
      <c r="Q284">
        <v>179</v>
      </c>
      <c r="R284" s="43">
        <v>43723</v>
      </c>
      <c r="S284" s="44">
        <v>0.5</v>
      </c>
      <c r="T284" s="45">
        <v>-211.20000000000002</v>
      </c>
      <c r="U284" s="42">
        <v>-3.2</v>
      </c>
      <c r="V284" s="46">
        <f t="shared" si="12"/>
        <v>-2.1120000000000001</v>
      </c>
      <c r="W284" s="42">
        <f t="shared" si="12"/>
        <v>-3.2000000000000001E-2</v>
      </c>
    </row>
    <row r="285" spans="1:23" x14ac:dyDescent="0.2">
      <c r="A285">
        <v>157</v>
      </c>
      <c r="B285" s="43">
        <v>43722</v>
      </c>
      <c r="C285" s="44">
        <v>0.5</v>
      </c>
      <c r="D285">
        <v>-64.542000000000002</v>
      </c>
      <c r="E285" s="42">
        <v>-3.7157031900000028</v>
      </c>
      <c r="F285" s="42">
        <f t="shared" si="13"/>
        <v>-0.64541999999999999</v>
      </c>
      <c r="G285" s="42">
        <f t="shared" si="13"/>
        <v>-3.7157031900000026E-2</v>
      </c>
      <c r="I285">
        <v>160</v>
      </c>
      <c r="J285" s="43">
        <v>43710</v>
      </c>
      <c r="K285" s="44">
        <v>0.5</v>
      </c>
      <c r="L285" s="47">
        <v>-2.1669999999999998</v>
      </c>
      <c r="M285" s="42">
        <v>-2.216310875</v>
      </c>
      <c r="N285" s="42">
        <f t="shared" si="14"/>
        <v>-2.1669999999999998E-2</v>
      </c>
      <c r="O285" s="42">
        <f t="shared" si="14"/>
        <v>-2.216310875E-2</v>
      </c>
      <c r="Q285">
        <v>180</v>
      </c>
      <c r="R285" s="43">
        <v>43724</v>
      </c>
      <c r="S285" s="44">
        <v>0.5</v>
      </c>
      <c r="T285" s="45">
        <v>-211.20000000000002</v>
      </c>
      <c r="U285" s="42">
        <v>-3.3</v>
      </c>
      <c r="V285" s="46">
        <f t="shared" si="12"/>
        <v>-2.1120000000000001</v>
      </c>
      <c r="W285" s="42">
        <f t="shared" si="12"/>
        <v>-3.3000000000000002E-2</v>
      </c>
    </row>
    <row r="286" spans="1:23" x14ac:dyDescent="0.2">
      <c r="A286">
        <v>158</v>
      </c>
      <c r="B286" s="43">
        <v>43723</v>
      </c>
      <c r="C286" s="44">
        <v>0.5</v>
      </c>
      <c r="D286">
        <v>-70.492000000000004</v>
      </c>
      <c r="E286" s="42">
        <v>-3.6563974300000019</v>
      </c>
      <c r="F286" s="42">
        <f t="shared" si="13"/>
        <v>-0.70491999999999999</v>
      </c>
      <c r="G286" s="42">
        <f t="shared" si="13"/>
        <v>-3.6563974300000017E-2</v>
      </c>
      <c r="I286">
        <v>161</v>
      </c>
      <c r="J286" s="43">
        <v>43711</v>
      </c>
      <c r="K286" s="44">
        <v>0.5</v>
      </c>
      <c r="L286" s="47">
        <v>-1.175</v>
      </c>
      <c r="M286" s="42">
        <v>-2.2902298490000002</v>
      </c>
      <c r="N286" s="42">
        <f t="shared" si="14"/>
        <v>-1.175E-2</v>
      </c>
      <c r="O286" s="42">
        <f t="shared" si="14"/>
        <v>-2.290229849E-2</v>
      </c>
      <c r="Q286">
        <v>181</v>
      </c>
      <c r="R286" s="43">
        <v>43725</v>
      </c>
      <c r="S286" s="44">
        <v>0.5</v>
      </c>
      <c r="T286" s="45">
        <v>-210.6</v>
      </c>
      <c r="U286" s="42">
        <v>-3.3</v>
      </c>
      <c r="V286" s="46">
        <f t="shared" si="12"/>
        <v>-2.1059999999999999</v>
      </c>
      <c r="W286" s="42">
        <f t="shared" si="12"/>
        <v>-3.3000000000000002E-2</v>
      </c>
    </row>
    <row r="287" spans="1:23" x14ac:dyDescent="0.2">
      <c r="A287">
        <v>159</v>
      </c>
      <c r="B287" s="43">
        <v>43724</v>
      </c>
      <c r="C287" s="44">
        <v>0.5</v>
      </c>
      <c r="D287">
        <v>-49.2</v>
      </c>
      <c r="E287" s="42">
        <v>-3.7640236000000051</v>
      </c>
      <c r="F287" s="42">
        <f t="shared" si="13"/>
        <v>-0.49200000000000005</v>
      </c>
      <c r="G287" s="42">
        <f t="shared" si="13"/>
        <v>-3.7640236000000049E-2</v>
      </c>
      <c r="I287">
        <v>162</v>
      </c>
      <c r="J287" s="43">
        <v>43712</v>
      </c>
      <c r="K287" s="44">
        <v>0.5</v>
      </c>
      <c r="L287" s="47">
        <v>-2.2250000000000001</v>
      </c>
      <c r="M287" s="42">
        <v>-2.2825443289999998</v>
      </c>
      <c r="N287" s="42">
        <f t="shared" si="14"/>
        <v>-2.2250000000000002E-2</v>
      </c>
      <c r="O287" s="42">
        <f t="shared" si="14"/>
        <v>-2.2825443289999997E-2</v>
      </c>
      <c r="Q287">
        <v>182</v>
      </c>
      <c r="R287" s="43">
        <v>43726</v>
      </c>
      <c r="S287" s="44">
        <v>0.5</v>
      </c>
      <c r="T287" s="45">
        <v>-210.5</v>
      </c>
      <c r="U287" s="42">
        <v>-3.35</v>
      </c>
      <c r="V287" s="46">
        <f t="shared" si="12"/>
        <v>-2.105</v>
      </c>
      <c r="W287" s="42">
        <f t="shared" si="12"/>
        <v>-3.3500000000000002E-2</v>
      </c>
    </row>
    <row r="288" spans="1:23" x14ac:dyDescent="0.2">
      <c r="A288">
        <v>160</v>
      </c>
      <c r="B288" s="43">
        <v>43725</v>
      </c>
      <c r="C288" s="44">
        <v>0.5</v>
      </c>
      <c r="D288">
        <v>-19.274999999999999</v>
      </c>
      <c r="E288" s="42">
        <v>-3.5198472900000048</v>
      </c>
      <c r="F288" s="42">
        <f t="shared" si="13"/>
        <v>-0.19274999999999998</v>
      </c>
      <c r="G288" s="42">
        <f t="shared" si="13"/>
        <v>-3.5198472900000048E-2</v>
      </c>
      <c r="I288">
        <v>163</v>
      </c>
      <c r="J288" s="43">
        <v>43713</v>
      </c>
      <c r="K288" s="44">
        <v>0.5</v>
      </c>
      <c r="L288" s="47">
        <v>-3.9169999999999998</v>
      </c>
      <c r="M288" s="42">
        <v>-2.308373451</v>
      </c>
      <c r="N288" s="42">
        <f t="shared" si="14"/>
        <v>-3.9169999999999996E-2</v>
      </c>
      <c r="O288" s="42">
        <f t="shared" si="14"/>
        <v>-2.3083734509999999E-2</v>
      </c>
      <c r="Q288">
        <v>183</v>
      </c>
      <c r="R288" s="43">
        <v>43727</v>
      </c>
      <c r="S288" s="44">
        <v>0.5</v>
      </c>
      <c r="T288" s="45">
        <v>-210.6</v>
      </c>
      <c r="U288" s="42">
        <v>-3.35</v>
      </c>
      <c r="V288" s="46">
        <f t="shared" si="12"/>
        <v>-2.1059999999999999</v>
      </c>
      <c r="W288" s="42">
        <f t="shared" si="12"/>
        <v>-3.3500000000000002E-2</v>
      </c>
    </row>
    <row r="289" spans="1:23" x14ac:dyDescent="0.2">
      <c r="A289">
        <v>161</v>
      </c>
      <c r="B289" s="43">
        <v>43726</v>
      </c>
      <c r="C289" s="44">
        <v>0.5</v>
      </c>
      <c r="D289">
        <v>-22.25</v>
      </c>
      <c r="E289" s="42">
        <v>-2.9157031900000021</v>
      </c>
      <c r="F289" s="42">
        <f t="shared" si="13"/>
        <v>-0.2225</v>
      </c>
      <c r="G289" s="42">
        <f t="shared" si="13"/>
        <v>-2.9157031900000022E-2</v>
      </c>
      <c r="I289">
        <v>164</v>
      </c>
      <c r="J289" s="43">
        <v>43714</v>
      </c>
      <c r="K289" s="44">
        <v>0.5</v>
      </c>
      <c r="L289" s="47">
        <v>-5.258</v>
      </c>
      <c r="M289" s="42">
        <v>-2.453507025</v>
      </c>
      <c r="N289" s="42">
        <f t="shared" si="14"/>
        <v>-5.2580000000000002E-2</v>
      </c>
      <c r="O289" s="42">
        <f t="shared" si="14"/>
        <v>-2.4535070249999999E-2</v>
      </c>
      <c r="Q289">
        <v>184</v>
      </c>
      <c r="R289" s="43">
        <v>43728</v>
      </c>
      <c r="S289" s="44">
        <v>0.5</v>
      </c>
      <c r="T289" s="45">
        <v>-210.5</v>
      </c>
      <c r="U289" s="42">
        <v>-3.4</v>
      </c>
      <c r="V289" s="46">
        <f t="shared" si="12"/>
        <v>-2.105</v>
      </c>
      <c r="W289" s="42">
        <f t="shared" si="12"/>
        <v>-3.4000000000000002E-2</v>
      </c>
    </row>
    <row r="290" spans="1:23" x14ac:dyDescent="0.2">
      <c r="A290">
        <v>162</v>
      </c>
      <c r="B290" s="43">
        <v>43727</v>
      </c>
      <c r="C290" s="44">
        <v>0.5</v>
      </c>
      <c r="D290">
        <v>-27.5</v>
      </c>
      <c r="E290" s="42">
        <v>-2.8157031900000042</v>
      </c>
      <c r="F290" s="42">
        <f t="shared" si="13"/>
        <v>-0.27500000000000002</v>
      </c>
      <c r="G290" s="42">
        <f t="shared" si="13"/>
        <v>-2.8157031900000042E-2</v>
      </c>
      <c r="I290">
        <v>165</v>
      </c>
      <c r="J290" s="43">
        <v>43715</v>
      </c>
      <c r="K290" s="44">
        <v>0.5</v>
      </c>
      <c r="L290" s="47">
        <v>-6.0750000000000002</v>
      </c>
      <c r="M290" s="42">
        <v>-2.5035070250000002</v>
      </c>
      <c r="N290" s="42">
        <f t="shared" si="14"/>
        <v>-6.0749999999999998E-2</v>
      </c>
      <c r="O290" s="42">
        <f t="shared" si="14"/>
        <v>-2.5035070250000003E-2</v>
      </c>
      <c r="Q290">
        <v>185</v>
      </c>
      <c r="R290" s="43">
        <v>43729</v>
      </c>
      <c r="S290" s="44">
        <v>0.5</v>
      </c>
      <c r="T290" s="45">
        <v>-210.5</v>
      </c>
      <c r="U290" s="42">
        <v>-3.4</v>
      </c>
      <c r="V290" s="46">
        <f t="shared" si="12"/>
        <v>-2.105</v>
      </c>
      <c r="W290" s="42">
        <f t="shared" si="12"/>
        <v>-3.4000000000000002E-2</v>
      </c>
    </row>
    <row r="291" spans="1:23" x14ac:dyDescent="0.2">
      <c r="A291">
        <v>163</v>
      </c>
      <c r="B291" s="43">
        <v>43728</v>
      </c>
      <c r="C291" s="44">
        <v>0.5</v>
      </c>
      <c r="D291">
        <v>-30.707999999999998</v>
      </c>
      <c r="E291" s="42">
        <v>-2.8157031900000042</v>
      </c>
      <c r="F291" s="42">
        <f t="shared" si="13"/>
        <v>-0.30707999999999996</v>
      </c>
      <c r="G291" s="42">
        <f t="shared" si="13"/>
        <v>-2.8157031900000042E-2</v>
      </c>
      <c r="I291">
        <v>166</v>
      </c>
      <c r="J291" s="43">
        <v>43716</v>
      </c>
      <c r="K291" s="44">
        <v>0.5</v>
      </c>
      <c r="L291" s="47">
        <v>-7.008</v>
      </c>
      <c r="M291" s="42">
        <v>-2.453759732</v>
      </c>
      <c r="N291" s="42">
        <f t="shared" si="14"/>
        <v>-7.0080000000000003E-2</v>
      </c>
      <c r="O291" s="42">
        <f t="shared" si="14"/>
        <v>-2.453759732E-2</v>
      </c>
      <c r="Q291">
        <v>186</v>
      </c>
      <c r="R291" s="43">
        <v>43730</v>
      </c>
      <c r="S291" s="44">
        <v>0.5</v>
      </c>
      <c r="T291" s="45">
        <v>-210.5</v>
      </c>
      <c r="U291" s="42">
        <v>-3.5</v>
      </c>
      <c r="V291" s="46">
        <f t="shared" si="12"/>
        <v>-2.105</v>
      </c>
      <c r="W291" s="42">
        <f t="shared" si="12"/>
        <v>-3.5000000000000003E-2</v>
      </c>
    </row>
    <row r="292" spans="1:23" x14ac:dyDescent="0.2">
      <c r="A292">
        <v>164</v>
      </c>
      <c r="B292" s="43">
        <v>43729</v>
      </c>
      <c r="C292" s="44">
        <v>0.5</v>
      </c>
      <c r="D292">
        <v>-33.332999999999998</v>
      </c>
      <c r="E292" s="42">
        <v>-2.8157031900000042</v>
      </c>
      <c r="F292" s="42">
        <f t="shared" si="13"/>
        <v>-0.33332999999999996</v>
      </c>
      <c r="G292" s="42">
        <f t="shared" si="13"/>
        <v>-2.8157031900000042E-2</v>
      </c>
      <c r="I292">
        <v>167</v>
      </c>
      <c r="J292" s="43">
        <v>43717</v>
      </c>
      <c r="K292" s="44">
        <v>0.5</v>
      </c>
      <c r="L292" s="47">
        <v>-8.1170000000000009</v>
      </c>
      <c r="M292" s="42">
        <v>-2.517682717</v>
      </c>
      <c r="N292" s="42">
        <f t="shared" si="14"/>
        <v>-8.1170000000000006E-2</v>
      </c>
      <c r="O292" s="42">
        <f t="shared" si="14"/>
        <v>-2.5176827169999999E-2</v>
      </c>
      <c r="Q292">
        <v>187</v>
      </c>
      <c r="R292" s="43">
        <v>43731</v>
      </c>
      <c r="S292" s="44">
        <v>0.5</v>
      </c>
      <c r="T292" s="45">
        <v>-210.5</v>
      </c>
      <c r="U292" s="42">
        <v>-3.55</v>
      </c>
      <c r="V292" s="46">
        <f t="shared" si="12"/>
        <v>-2.105</v>
      </c>
      <c r="W292" s="42">
        <f t="shared" si="12"/>
        <v>-3.5499999999999997E-2</v>
      </c>
    </row>
    <row r="293" spans="1:23" x14ac:dyDescent="0.2">
      <c r="A293">
        <v>165</v>
      </c>
      <c r="B293" s="43">
        <v>43730</v>
      </c>
      <c r="C293" s="44">
        <v>0.5</v>
      </c>
      <c r="D293">
        <v>-35.200000000000003</v>
      </c>
      <c r="E293" s="42">
        <v>-2.8157031900000042</v>
      </c>
      <c r="F293" s="42">
        <f t="shared" si="13"/>
        <v>-0.35200000000000004</v>
      </c>
      <c r="G293" s="42">
        <f t="shared" si="13"/>
        <v>-2.8157031900000042E-2</v>
      </c>
      <c r="I293">
        <v>168</v>
      </c>
      <c r="J293" s="43">
        <v>43718</v>
      </c>
      <c r="K293" s="44">
        <v>0.5</v>
      </c>
      <c r="L293" s="47">
        <v>-9.1669999999999998</v>
      </c>
      <c r="M293" s="42">
        <v>-2.6535070250000001</v>
      </c>
      <c r="N293" s="42">
        <f t="shared" si="14"/>
        <v>-9.1670000000000001E-2</v>
      </c>
      <c r="O293" s="42">
        <f t="shared" si="14"/>
        <v>-2.6535070250000001E-2</v>
      </c>
      <c r="Q293">
        <v>188</v>
      </c>
      <c r="R293" s="43">
        <v>43732</v>
      </c>
      <c r="S293" s="44">
        <v>0.5</v>
      </c>
      <c r="T293" s="45">
        <v>-210.5</v>
      </c>
      <c r="U293" s="42">
        <v>-3.6</v>
      </c>
      <c r="V293" s="46">
        <f t="shared" si="12"/>
        <v>-2.105</v>
      </c>
      <c r="W293" s="42">
        <f t="shared" si="12"/>
        <v>-3.6000000000000004E-2</v>
      </c>
    </row>
    <row r="294" spans="1:23" x14ac:dyDescent="0.2">
      <c r="A294">
        <v>166</v>
      </c>
      <c r="B294" s="43">
        <v>43731</v>
      </c>
      <c r="C294" s="44">
        <v>0.5</v>
      </c>
      <c r="D294">
        <v>-37.357999999999997</v>
      </c>
      <c r="E294" s="42">
        <v>-2.7657031900000035</v>
      </c>
      <c r="F294" s="42">
        <f t="shared" si="13"/>
        <v>-0.37357999999999997</v>
      </c>
      <c r="G294" s="42">
        <f t="shared" si="13"/>
        <v>-2.7657031900000035E-2</v>
      </c>
      <c r="I294">
        <v>169</v>
      </c>
      <c r="J294" s="43">
        <v>43719</v>
      </c>
      <c r="K294" s="44">
        <v>0.5</v>
      </c>
      <c r="L294" s="47">
        <v>-10.333</v>
      </c>
      <c r="M294" s="42">
        <v>-2.703507025</v>
      </c>
      <c r="N294" s="42">
        <f t="shared" si="14"/>
        <v>-0.10333000000000001</v>
      </c>
      <c r="O294" s="42">
        <f t="shared" si="14"/>
        <v>-2.7035070250000001E-2</v>
      </c>
      <c r="Q294">
        <v>189</v>
      </c>
      <c r="R294" s="43">
        <v>43733</v>
      </c>
      <c r="S294" s="44">
        <v>0.5</v>
      </c>
      <c r="T294" s="45">
        <v>-211</v>
      </c>
      <c r="U294" s="42">
        <v>-3.5</v>
      </c>
      <c r="V294" s="46">
        <f t="shared" si="12"/>
        <v>-2.11</v>
      </c>
      <c r="W294" s="42">
        <f t="shared" si="12"/>
        <v>-3.5000000000000003E-2</v>
      </c>
    </row>
    <row r="295" spans="1:23" x14ac:dyDescent="0.2">
      <c r="A295">
        <v>167</v>
      </c>
      <c r="B295" s="43">
        <v>43732</v>
      </c>
      <c r="C295" s="44">
        <v>0.5</v>
      </c>
      <c r="D295">
        <v>-39.517000000000003</v>
      </c>
      <c r="E295" s="42">
        <v>-2.865703190000005</v>
      </c>
      <c r="F295" s="42">
        <f t="shared" si="13"/>
        <v>-0.39517000000000002</v>
      </c>
      <c r="G295" s="42">
        <f t="shared" si="13"/>
        <v>-2.865703190000005E-2</v>
      </c>
      <c r="I295">
        <v>170</v>
      </c>
      <c r="J295" s="43">
        <v>43720</v>
      </c>
      <c r="K295" s="44">
        <v>0.5</v>
      </c>
      <c r="L295" s="47">
        <v>-9.9250000000000007</v>
      </c>
      <c r="M295" s="42">
        <v>-2.6771050989999998</v>
      </c>
      <c r="N295" s="42">
        <f t="shared" si="14"/>
        <v>-9.9250000000000005E-2</v>
      </c>
      <c r="O295" s="42">
        <f t="shared" si="14"/>
        <v>-2.677105099E-2</v>
      </c>
      <c r="Q295">
        <v>190</v>
      </c>
      <c r="R295" s="43">
        <v>43734</v>
      </c>
      <c r="S295" s="44">
        <v>0.5</v>
      </c>
      <c r="T295" s="45">
        <v>-211.3</v>
      </c>
      <c r="U295" s="42">
        <v>-3.45</v>
      </c>
      <c r="V295" s="46">
        <f t="shared" si="12"/>
        <v>-2.113</v>
      </c>
      <c r="W295" s="42">
        <f t="shared" si="12"/>
        <v>-3.4500000000000003E-2</v>
      </c>
    </row>
    <row r="296" spans="1:23" x14ac:dyDescent="0.2">
      <c r="A296">
        <v>168</v>
      </c>
      <c r="B296" s="43">
        <v>43733</v>
      </c>
      <c r="C296" s="44">
        <v>0.5</v>
      </c>
      <c r="D296">
        <v>-38</v>
      </c>
      <c r="E296" s="42">
        <v>-2.9157031900000021</v>
      </c>
      <c r="F296" s="42">
        <f t="shared" si="13"/>
        <v>-0.38</v>
      </c>
      <c r="G296" s="42">
        <f t="shared" si="13"/>
        <v>-2.9157031900000022E-2</v>
      </c>
      <c r="I296">
        <v>171</v>
      </c>
      <c r="J296" s="43">
        <v>43721</v>
      </c>
      <c r="K296" s="44">
        <v>0.5</v>
      </c>
      <c r="L296" s="47">
        <v>-11.15</v>
      </c>
      <c r="M296" s="42">
        <v>-2.7482483000000002</v>
      </c>
      <c r="N296" s="42">
        <f t="shared" si="14"/>
        <v>-0.1115</v>
      </c>
      <c r="O296" s="42">
        <f t="shared" si="14"/>
        <v>-2.7482483000000002E-2</v>
      </c>
      <c r="Q296">
        <v>191</v>
      </c>
      <c r="R296" s="43">
        <v>43735</v>
      </c>
      <c r="S296" s="44">
        <v>0.5</v>
      </c>
      <c r="T296" s="45">
        <v>-211.10000000000002</v>
      </c>
      <c r="U296" s="42">
        <v>-3.3</v>
      </c>
      <c r="V296" s="46">
        <f t="shared" si="12"/>
        <v>-2.1110000000000002</v>
      </c>
      <c r="W296" s="42">
        <f t="shared" si="12"/>
        <v>-3.3000000000000002E-2</v>
      </c>
    </row>
    <row r="297" spans="1:23" x14ac:dyDescent="0.2">
      <c r="A297">
        <v>169</v>
      </c>
      <c r="B297" s="43">
        <v>43734</v>
      </c>
      <c r="C297" s="44">
        <v>0.5</v>
      </c>
      <c r="D297">
        <v>-39.866999999999997</v>
      </c>
      <c r="E297" s="42">
        <v>-2.865703190000005</v>
      </c>
      <c r="F297" s="42">
        <f t="shared" si="13"/>
        <v>-0.39866999999999997</v>
      </c>
      <c r="G297" s="42">
        <f t="shared" si="13"/>
        <v>-2.865703190000005E-2</v>
      </c>
      <c r="I297">
        <v>172</v>
      </c>
      <c r="J297" s="43">
        <v>43722</v>
      </c>
      <c r="K297" s="44">
        <v>0.5</v>
      </c>
      <c r="L297" s="47">
        <v>-7.4749999999999996</v>
      </c>
      <c r="M297" s="42">
        <v>-2.803507025</v>
      </c>
      <c r="N297" s="42">
        <f t="shared" si="14"/>
        <v>-7.4749999999999997E-2</v>
      </c>
      <c r="O297" s="42">
        <f t="shared" si="14"/>
        <v>-2.8035070250000002E-2</v>
      </c>
      <c r="Q297">
        <v>192</v>
      </c>
      <c r="R297" s="43">
        <v>43736</v>
      </c>
      <c r="S297" s="44">
        <v>0.5</v>
      </c>
      <c r="T297" s="45">
        <v>-211.3</v>
      </c>
      <c r="U297" s="42">
        <v>-2.95</v>
      </c>
      <c r="V297" s="46">
        <f t="shared" si="12"/>
        <v>-2.113</v>
      </c>
      <c r="W297" s="42">
        <f t="shared" si="12"/>
        <v>-2.9500000000000002E-2</v>
      </c>
    </row>
    <row r="298" spans="1:23" x14ac:dyDescent="0.2">
      <c r="A298">
        <v>170</v>
      </c>
      <c r="B298" s="43">
        <v>43735</v>
      </c>
      <c r="C298" s="44">
        <v>0.5</v>
      </c>
      <c r="D298">
        <v>-35.783000000000001</v>
      </c>
      <c r="E298" s="42">
        <v>-2.8157031900000042</v>
      </c>
      <c r="F298" s="42">
        <f t="shared" si="13"/>
        <v>-0.35783000000000004</v>
      </c>
      <c r="G298" s="42">
        <f t="shared" si="13"/>
        <v>-2.8157031900000042E-2</v>
      </c>
      <c r="I298">
        <v>173</v>
      </c>
      <c r="J298" s="43">
        <v>43723</v>
      </c>
      <c r="K298" s="44">
        <v>0.5</v>
      </c>
      <c r="L298" s="47">
        <v>-9.2829999999999995</v>
      </c>
      <c r="M298" s="42">
        <v>-2.66720538</v>
      </c>
      <c r="N298" s="42">
        <f t="shared" si="14"/>
        <v>-9.2829999999999996E-2</v>
      </c>
      <c r="O298" s="42">
        <f t="shared" si="14"/>
        <v>-2.6672053799999998E-2</v>
      </c>
      <c r="Q298">
        <v>193</v>
      </c>
      <c r="R298" s="43">
        <v>43737</v>
      </c>
      <c r="S298" s="44">
        <v>0.5</v>
      </c>
      <c r="T298" s="45">
        <v>-211.10000000000002</v>
      </c>
      <c r="U298" s="42">
        <v>-2.95</v>
      </c>
      <c r="V298" s="46">
        <f t="shared" si="12"/>
        <v>-2.1110000000000002</v>
      </c>
      <c r="W298" s="42">
        <f t="shared" si="12"/>
        <v>-2.9500000000000002E-2</v>
      </c>
    </row>
    <row r="299" spans="1:23" x14ac:dyDescent="0.2">
      <c r="A299">
        <v>171</v>
      </c>
      <c r="B299" s="43">
        <v>43736</v>
      </c>
      <c r="C299" s="44">
        <v>0.5</v>
      </c>
      <c r="D299">
        <v>-38.174999999999997</v>
      </c>
      <c r="E299" s="42">
        <v>-2.8157031900000042</v>
      </c>
      <c r="F299" s="42">
        <f t="shared" si="13"/>
        <v>-0.38174999999999998</v>
      </c>
      <c r="G299" s="42">
        <f t="shared" si="13"/>
        <v>-2.8157031900000042E-2</v>
      </c>
      <c r="I299">
        <v>174</v>
      </c>
      <c r="J299" s="43">
        <v>43724</v>
      </c>
      <c r="K299" s="44">
        <v>0.5</v>
      </c>
      <c r="L299" s="47">
        <v>-9.8079999999999998</v>
      </c>
      <c r="M299" s="42">
        <v>-2.7549631020000001</v>
      </c>
      <c r="N299" s="42">
        <f t="shared" si="14"/>
        <v>-9.8080000000000001E-2</v>
      </c>
      <c r="O299" s="42">
        <f t="shared" si="14"/>
        <v>-2.754963102E-2</v>
      </c>
      <c r="Q299">
        <v>194</v>
      </c>
      <c r="R299" s="43">
        <v>43738</v>
      </c>
      <c r="S299" s="44">
        <v>0.5</v>
      </c>
      <c r="T299" s="45">
        <v>-204.3</v>
      </c>
      <c r="U299" s="42">
        <v>-2.9</v>
      </c>
      <c r="V299" s="46">
        <f t="shared" si="12"/>
        <v>-2.0430000000000001</v>
      </c>
      <c r="W299" s="42">
        <f t="shared" si="12"/>
        <v>-2.8999999999999998E-2</v>
      </c>
    </row>
    <row r="300" spans="1:23" x14ac:dyDescent="0.2">
      <c r="A300">
        <v>172</v>
      </c>
      <c r="B300" s="43">
        <v>43737</v>
      </c>
      <c r="C300" s="44">
        <v>0.5</v>
      </c>
      <c r="D300">
        <v>-39.107999999999997</v>
      </c>
      <c r="E300" s="42">
        <v>-2.8157031900000042</v>
      </c>
      <c r="F300" s="42">
        <f t="shared" si="13"/>
        <v>-0.39107999999999998</v>
      </c>
      <c r="G300" s="42">
        <f t="shared" si="13"/>
        <v>-2.8157031900000042E-2</v>
      </c>
      <c r="I300">
        <v>175</v>
      </c>
      <c r="J300" s="43">
        <v>43725</v>
      </c>
      <c r="K300" s="44">
        <v>0.5</v>
      </c>
      <c r="L300" s="47">
        <v>-11.617000000000001</v>
      </c>
      <c r="M300" s="42">
        <v>-2.9035070250000001</v>
      </c>
      <c r="N300" s="42">
        <f t="shared" si="14"/>
        <v>-0.11617000000000001</v>
      </c>
      <c r="O300" s="42">
        <f t="shared" si="14"/>
        <v>-2.9035070250000003E-2</v>
      </c>
      <c r="Q300">
        <v>195</v>
      </c>
      <c r="R300" s="43">
        <v>43739</v>
      </c>
      <c r="S300" s="44">
        <v>0.5</v>
      </c>
      <c r="T300" s="45">
        <v>-205.50000000000003</v>
      </c>
      <c r="U300" s="42">
        <v>-2.9</v>
      </c>
      <c r="V300" s="46">
        <f t="shared" si="12"/>
        <v>-2.0550000000000002</v>
      </c>
      <c r="W300" s="42">
        <f t="shared" si="12"/>
        <v>-2.8999999999999998E-2</v>
      </c>
    </row>
    <row r="301" spans="1:23" x14ac:dyDescent="0.2">
      <c r="A301">
        <v>173</v>
      </c>
      <c r="B301" s="43">
        <v>43738</v>
      </c>
      <c r="C301" s="44">
        <v>0.5</v>
      </c>
      <c r="D301">
        <v>-39.283000000000001</v>
      </c>
      <c r="E301" s="42">
        <v>-2.865703190000005</v>
      </c>
      <c r="F301" s="42">
        <f t="shared" si="13"/>
        <v>-0.39283000000000001</v>
      </c>
      <c r="G301" s="42">
        <f t="shared" si="13"/>
        <v>-2.865703190000005E-2</v>
      </c>
      <c r="I301">
        <v>176</v>
      </c>
      <c r="J301" s="43">
        <v>43726</v>
      </c>
      <c r="K301" s="44">
        <v>0.5</v>
      </c>
      <c r="L301" s="47">
        <v>-11.15</v>
      </c>
      <c r="M301" s="42">
        <v>-2.7882001650000001</v>
      </c>
      <c r="N301" s="42">
        <f t="shared" si="14"/>
        <v>-0.1115</v>
      </c>
      <c r="O301" s="42">
        <f t="shared" si="14"/>
        <v>-2.7882001650000002E-2</v>
      </c>
      <c r="Q301">
        <v>196</v>
      </c>
      <c r="R301" s="43">
        <v>43740</v>
      </c>
      <c r="S301" s="44">
        <v>0.5</v>
      </c>
      <c r="T301" s="45">
        <v>-206.3</v>
      </c>
      <c r="U301" s="42">
        <v>-2.9</v>
      </c>
      <c r="V301" s="46">
        <f t="shared" si="12"/>
        <v>-2.0630000000000002</v>
      </c>
      <c r="W301" s="42">
        <f t="shared" si="12"/>
        <v>-2.8999999999999998E-2</v>
      </c>
    </row>
    <row r="302" spans="1:23" x14ac:dyDescent="0.2">
      <c r="A302">
        <v>174</v>
      </c>
      <c r="B302" s="43">
        <v>43739</v>
      </c>
      <c r="C302" s="44">
        <v>0.5</v>
      </c>
      <c r="D302">
        <v>-40.1</v>
      </c>
      <c r="E302" s="42">
        <v>-2.8157031900000042</v>
      </c>
      <c r="F302" s="42">
        <f t="shared" si="13"/>
        <v>-0.40100000000000002</v>
      </c>
      <c r="G302" s="42">
        <f t="shared" si="13"/>
        <v>-2.8157031900000042E-2</v>
      </c>
      <c r="I302">
        <v>177</v>
      </c>
      <c r="J302" s="43">
        <v>43727</v>
      </c>
      <c r="K302" s="44">
        <v>0.5</v>
      </c>
      <c r="L302" s="47">
        <v>-12.492000000000001</v>
      </c>
      <c r="M302" s="42">
        <v>-2.8498126799999999</v>
      </c>
      <c r="N302" s="42">
        <f t="shared" si="14"/>
        <v>-0.12492</v>
      </c>
      <c r="O302" s="42">
        <f t="shared" si="14"/>
        <v>-2.8498126799999999E-2</v>
      </c>
      <c r="Q302">
        <v>197</v>
      </c>
      <c r="R302" s="43">
        <v>43741</v>
      </c>
      <c r="S302" s="44">
        <v>0.5</v>
      </c>
      <c r="T302" s="45">
        <v>-206.4</v>
      </c>
      <c r="U302" s="42">
        <v>-2.95</v>
      </c>
      <c r="V302" s="46">
        <f t="shared" si="12"/>
        <v>-2.0640000000000001</v>
      </c>
      <c r="W302" s="42">
        <f t="shared" si="12"/>
        <v>-2.9500000000000002E-2</v>
      </c>
    </row>
    <row r="303" spans="1:23" x14ac:dyDescent="0.2">
      <c r="A303">
        <v>175</v>
      </c>
      <c r="B303" s="43">
        <v>43740</v>
      </c>
      <c r="C303" s="44">
        <v>0.5</v>
      </c>
      <c r="D303">
        <v>-41.442</v>
      </c>
      <c r="E303" s="42">
        <v>-2.865703190000005</v>
      </c>
      <c r="F303" s="42">
        <f t="shared" si="13"/>
        <v>-0.41442000000000001</v>
      </c>
      <c r="G303" s="42">
        <f t="shared" si="13"/>
        <v>-2.865703190000005E-2</v>
      </c>
      <c r="I303">
        <v>178</v>
      </c>
      <c r="J303" s="43">
        <v>43728</v>
      </c>
      <c r="K303" s="44">
        <v>0.5</v>
      </c>
      <c r="L303" s="47">
        <v>-13.6</v>
      </c>
      <c r="M303" s="42">
        <v>-2.8071973579999998</v>
      </c>
      <c r="N303" s="42">
        <f t="shared" si="14"/>
        <v>-0.13600000000000001</v>
      </c>
      <c r="O303" s="42">
        <f t="shared" si="14"/>
        <v>-2.8071973579999999E-2</v>
      </c>
      <c r="Q303">
        <v>198</v>
      </c>
      <c r="R303" s="43">
        <v>43742</v>
      </c>
      <c r="S303" s="44">
        <v>0.5</v>
      </c>
      <c r="T303" s="45">
        <v>-207.39999999999998</v>
      </c>
      <c r="U303" s="42">
        <v>-2.95</v>
      </c>
      <c r="V303" s="46">
        <f t="shared" si="12"/>
        <v>-2.0739999999999998</v>
      </c>
      <c r="W303" s="42">
        <f t="shared" si="12"/>
        <v>-2.9500000000000002E-2</v>
      </c>
    </row>
    <row r="304" spans="1:23" x14ac:dyDescent="0.2">
      <c r="A304">
        <v>176</v>
      </c>
      <c r="B304" s="43">
        <v>43741</v>
      </c>
      <c r="C304" s="44">
        <v>0.5</v>
      </c>
      <c r="D304">
        <v>-40.741999999999997</v>
      </c>
      <c r="E304" s="42">
        <v>-2.865703190000005</v>
      </c>
      <c r="F304" s="42">
        <f t="shared" si="13"/>
        <v>-0.40741999999999995</v>
      </c>
      <c r="G304" s="42">
        <f t="shared" si="13"/>
        <v>-2.865703190000005E-2</v>
      </c>
      <c r="I304">
        <v>179</v>
      </c>
      <c r="J304" s="43">
        <v>43729</v>
      </c>
      <c r="K304" s="44">
        <v>0.5</v>
      </c>
      <c r="L304" s="47">
        <v>-14.475</v>
      </c>
      <c r="M304" s="42">
        <v>-3.0035070250000002</v>
      </c>
      <c r="N304" s="42">
        <f t="shared" si="14"/>
        <v>-0.14474999999999999</v>
      </c>
      <c r="O304" s="42">
        <f t="shared" si="14"/>
        <v>-3.0035070250000004E-2</v>
      </c>
      <c r="Q304">
        <v>199</v>
      </c>
      <c r="R304" s="43">
        <v>43743</v>
      </c>
      <c r="S304" s="44">
        <v>0.5</v>
      </c>
      <c r="T304" s="45">
        <v>-207.39999999999998</v>
      </c>
      <c r="U304" s="42">
        <v>-3</v>
      </c>
      <c r="V304" s="46">
        <f t="shared" si="12"/>
        <v>-2.0739999999999998</v>
      </c>
      <c r="W304" s="42">
        <f t="shared" si="12"/>
        <v>-0.03</v>
      </c>
    </row>
    <row r="305" spans="1:23" x14ac:dyDescent="0.2">
      <c r="A305">
        <v>177</v>
      </c>
      <c r="B305" s="43">
        <v>43742</v>
      </c>
      <c r="C305" s="44">
        <v>0.5</v>
      </c>
      <c r="D305">
        <v>-41.15</v>
      </c>
      <c r="E305" s="42">
        <v>-2.865703190000005</v>
      </c>
      <c r="F305" s="42">
        <f t="shared" si="13"/>
        <v>-0.41149999999999998</v>
      </c>
      <c r="G305" s="42">
        <f t="shared" si="13"/>
        <v>-2.865703190000005E-2</v>
      </c>
      <c r="I305">
        <v>180</v>
      </c>
      <c r="J305" s="43">
        <v>43730</v>
      </c>
      <c r="K305" s="44">
        <v>0.5</v>
      </c>
      <c r="L305" s="47">
        <v>-15.583</v>
      </c>
      <c r="M305" s="42">
        <v>-3.0035070250000002</v>
      </c>
      <c r="N305" s="42">
        <f t="shared" si="14"/>
        <v>-0.15583</v>
      </c>
      <c r="O305" s="42">
        <f t="shared" si="14"/>
        <v>-3.0035070250000004E-2</v>
      </c>
      <c r="Q305">
        <v>200</v>
      </c>
      <c r="R305" s="43">
        <v>43744</v>
      </c>
      <c r="S305" s="44">
        <v>0.5</v>
      </c>
      <c r="T305" s="45">
        <v>-208.2</v>
      </c>
      <c r="U305" s="42">
        <v>-3</v>
      </c>
      <c r="V305" s="46">
        <f t="shared" si="12"/>
        <v>-2.0819999999999999</v>
      </c>
      <c r="W305" s="42">
        <f t="shared" si="12"/>
        <v>-0.03</v>
      </c>
    </row>
    <row r="306" spans="1:23" x14ac:dyDescent="0.2">
      <c r="A306">
        <v>178</v>
      </c>
      <c r="B306" s="43">
        <v>43743</v>
      </c>
      <c r="C306" s="44">
        <v>0.5</v>
      </c>
      <c r="D306">
        <v>-19.8</v>
      </c>
      <c r="E306" s="42">
        <v>-2.8712341300000048</v>
      </c>
      <c r="F306" s="42">
        <f t="shared" si="13"/>
        <v>-0.19800000000000001</v>
      </c>
      <c r="G306" s="42">
        <f t="shared" si="13"/>
        <v>-2.8712341300000048E-2</v>
      </c>
      <c r="I306">
        <v>181</v>
      </c>
      <c r="J306" s="43">
        <v>43731</v>
      </c>
      <c r="K306" s="44">
        <v>0.5</v>
      </c>
      <c r="L306" s="47">
        <v>-16.808</v>
      </c>
      <c r="M306" s="42">
        <v>-2.9306405990000002</v>
      </c>
      <c r="N306" s="42">
        <f t="shared" si="14"/>
        <v>-0.16808000000000001</v>
      </c>
      <c r="O306" s="42">
        <f t="shared" si="14"/>
        <v>-2.9306405990000003E-2</v>
      </c>
      <c r="Q306">
        <v>201</v>
      </c>
      <c r="R306" s="43">
        <v>43745</v>
      </c>
      <c r="S306" s="44">
        <v>0.5</v>
      </c>
      <c r="T306" s="45">
        <v>-208.5</v>
      </c>
      <c r="U306" s="42">
        <v>-3.05</v>
      </c>
      <c r="V306" s="46">
        <f t="shared" si="12"/>
        <v>-2.085</v>
      </c>
      <c r="W306" s="42">
        <f t="shared" si="12"/>
        <v>-3.0499999999999999E-2</v>
      </c>
    </row>
    <row r="307" spans="1:23" x14ac:dyDescent="0.2">
      <c r="A307">
        <v>179</v>
      </c>
      <c r="B307" s="43">
        <v>43744</v>
      </c>
      <c r="C307" s="44">
        <v>0.5</v>
      </c>
      <c r="D307">
        <v>-26.332999999999998</v>
      </c>
      <c r="E307" s="42">
        <v>-2.7657031900000035</v>
      </c>
      <c r="F307" s="42">
        <f t="shared" si="13"/>
        <v>-0.26333000000000001</v>
      </c>
      <c r="G307" s="42">
        <f t="shared" si="13"/>
        <v>-2.7657031900000035E-2</v>
      </c>
      <c r="I307">
        <v>182</v>
      </c>
      <c r="J307" s="43">
        <v>43732</v>
      </c>
      <c r="K307" s="44">
        <v>0.5</v>
      </c>
      <c r="L307" s="47">
        <v>-17.216999999999999</v>
      </c>
      <c r="M307" s="42">
        <v>-3.203507025</v>
      </c>
      <c r="N307" s="42">
        <f t="shared" si="14"/>
        <v>-0.17216999999999999</v>
      </c>
      <c r="O307" s="42">
        <f t="shared" si="14"/>
        <v>-3.2035070249999999E-2</v>
      </c>
      <c r="Q307">
        <v>202</v>
      </c>
      <c r="R307" s="43">
        <v>43746</v>
      </c>
      <c r="S307" s="44">
        <v>0.5</v>
      </c>
      <c r="T307" s="45">
        <v>-208.6</v>
      </c>
      <c r="U307" s="42">
        <v>-3</v>
      </c>
      <c r="V307" s="46">
        <f t="shared" si="12"/>
        <v>-2.0859999999999999</v>
      </c>
      <c r="W307" s="42">
        <f t="shared" si="12"/>
        <v>-0.03</v>
      </c>
    </row>
    <row r="308" spans="1:23" x14ac:dyDescent="0.2">
      <c r="A308">
        <v>180</v>
      </c>
      <c r="B308" s="43">
        <v>43745</v>
      </c>
      <c r="C308" s="44">
        <v>0.5</v>
      </c>
      <c r="D308">
        <v>-17.292000000000002</v>
      </c>
      <c r="E308" s="42">
        <v>-2.7657031900000035</v>
      </c>
      <c r="F308" s="42">
        <f t="shared" si="13"/>
        <v>-0.17292000000000002</v>
      </c>
      <c r="G308" s="42">
        <f t="shared" si="13"/>
        <v>-2.7657031900000035E-2</v>
      </c>
      <c r="I308">
        <v>183</v>
      </c>
      <c r="J308" s="43">
        <v>43733</v>
      </c>
      <c r="K308" s="44">
        <v>0.5</v>
      </c>
      <c r="L308" s="47">
        <v>-14.475</v>
      </c>
      <c r="M308" s="42">
        <v>-3.2535070250000002</v>
      </c>
      <c r="N308" s="42">
        <f t="shared" si="14"/>
        <v>-0.14474999999999999</v>
      </c>
      <c r="O308" s="42">
        <f t="shared" si="14"/>
        <v>-3.2535070249999999E-2</v>
      </c>
      <c r="Q308">
        <v>203</v>
      </c>
      <c r="R308" s="43">
        <v>43747</v>
      </c>
      <c r="S308" s="44">
        <v>0.5</v>
      </c>
      <c r="T308" s="45">
        <v>-208.70000000000002</v>
      </c>
      <c r="U308" s="42">
        <v>-3</v>
      </c>
      <c r="V308" s="46">
        <f t="shared" si="12"/>
        <v>-2.0870000000000002</v>
      </c>
      <c r="W308" s="42">
        <f t="shared" si="12"/>
        <v>-0.03</v>
      </c>
    </row>
    <row r="309" spans="1:23" x14ac:dyDescent="0.2">
      <c r="A309">
        <v>181</v>
      </c>
      <c r="B309" s="43">
        <v>43746</v>
      </c>
      <c r="C309" s="44">
        <v>0.5</v>
      </c>
      <c r="D309">
        <v>-22.308</v>
      </c>
      <c r="E309" s="42">
        <v>-2.615703190000005</v>
      </c>
      <c r="F309" s="42">
        <f t="shared" si="13"/>
        <v>-0.22308</v>
      </c>
      <c r="G309" s="42">
        <f t="shared" si="13"/>
        <v>-2.6157031900000051E-2</v>
      </c>
      <c r="I309">
        <v>184</v>
      </c>
      <c r="J309" s="43">
        <v>43734</v>
      </c>
      <c r="K309" s="44">
        <v>0.5</v>
      </c>
      <c r="L309" s="47">
        <v>-15.875</v>
      </c>
      <c r="M309" s="42">
        <v>-3.203507025</v>
      </c>
      <c r="N309" s="42">
        <f t="shared" si="14"/>
        <v>-0.15875</v>
      </c>
      <c r="O309" s="42">
        <f t="shared" si="14"/>
        <v>-3.2035070249999999E-2</v>
      </c>
      <c r="Q309">
        <v>204</v>
      </c>
      <c r="R309" s="43">
        <v>43748</v>
      </c>
      <c r="S309" s="44">
        <v>0.5</v>
      </c>
      <c r="T309" s="45">
        <v>-208.70000000000002</v>
      </c>
      <c r="U309" s="42">
        <v>-3</v>
      </c>
      <c r="V309" s="46">
        <f t="shared" si="12"/>
        <v>-2.0870000000000002</v>
      </c>
      <c r="W309" s="42">
        <f t="shared" si="12"/>
        <v>-0.03</v>
      </c>
    </row>
    <row r="310" spans="1:23" x14ac:dyDescent="0.2">
      <c r="A310">
        <v>182</v>
      </c>
      <c r="B310" s="43">
        <v>43747</v>
      </c>
      <c r="C310" s="44">
        <v>0.5</v>
      </c>
      <c r="D310">
        <v>-22.774999999999999</v>
      </c>
      <c r="E310" s="42">
        <v>-2.4157031900000021</v>
      </c>
      <c r="F310" s="42">
        <f t="shared" si="13"/>
        <v>-0.22774999999999998</v>
      </c>
      <c r="G310" s="42">
        <f t="shared" si="13"/>
        <v>-2.4157031900000021E-2</v>
      </c>
      <c r="I310">
        <v>185</v>
      </c>
      <c r="J310" s="43">
        <v>43735</v>
      </c>
      <c r="K310" s="44">
        <v>0.5</v>
      </c>
      <c r="L310" s="47">
        <v>-15.583</v>
      </c>
      <c r="M310" s="42">
        <v>-3.1035407190000002</v>
      </c>
      <c r="N310" s="42">
        <f t="shared" si="14"/>
        <v>-0.15583</v>
      </c>
      <c r="O310" s="42">
        <f t="shared" si="14"/>
        <v>-3.1035407190000003E-2</v>
      </c>
      <c r="Q310">
        <v>205</v>
      </c>
      <c r="R310" s="43">
        <v>43749</v>
      </c>
      <c r="S310" s="44">
        <v>0.5</v>
      </c>
      <c r="T310" s="45">
        <v>-209</v>
      </c>
      <c r="U310" s="42">
        <v>-3</v>
      </c>
      <c r="V310" s="46">
        <f t="shared" si="12"/>
        <v>-2.09</v>
      </c>
      <c r="W310" s="42">
        <f t="shared" si="12"/>
        <v>-0.03</v>
      </c>
    </row>
    <row r="311" spans="1:23" x14ac:dyDescent="0.2">
      <c r="A311">
        <v>183</v>
      </c>
      <c r="B311" s="43">
        <v>43748</v>
      </c>
      <c r="C311" s="44">
        <v>0.5</v>
      </c>
      <c r="D311">
        <v>-26.45</v>
      </c>
      <c r="E311" s="42">
        <v>-2.4657031900000028</v>
      </c>
      <c r="F311" s="42">
        <f t="shared" si="13"/>
        <v>-0.26450000000000001</v>
      </c>
      <c r="G311" s="42">
        <f t="shared" si="13"/>
        <v>-2.4657031900000029E-2</v>
      </c>
      <c r="I311">
        <v>186</v>
      </c>
      <c r="J311" s="43">
        <v>43736</v>
      </c>
      <c r="K311" s="44">
        <v>0.5</v>
      </c>
      <c r="L311" s="47">
        <v>-17.042000000000002</v>
      </c>
      <c r="M311" s="42">
        <v>-3.04181268</v>
      </c>
      <c r="N311" s="42">
        <f t="shared" si="14"/>
        <v>-0.17042000000000002</v>
      </c>
      <c r="O311" s="42">
        <f t="shared" si="14"/>
        <v>-3.04181268E-2</v>
      </c>
      <c r="Q311">
        <v>206</v>
      </c>
      <c r="R311" s="43">
        <v>43750</v>
      </c>
      <c r="S311" s="44">
        <v>0.5</v>
      </c>
      <c r="T311" s="45">
        <v>-209.3</v>
      </c>
      <c r="U311" s="42">
        <v>-3.05</v>
      </c>
      <c r="V311" s="46">
        <f t="shared" ref="V311:W374" si="15">T311/100</f>
        <v>-2.093</v>
      </c>
      <c r="W311" s="42">
        <f t="shared" si="15"/>
        <v>-3.0499999999999999E-2</v>
      </c>
    </row>
    <row r="312" spans="1:23" x14ac:dyDescent="0.2">
      <c r="A312">
        <v>184</v>
      </c>
      <c r="B312" s="43">
        <v>43749</v>
      </c>
      <c r="C312" s="44">
        <v>0.5</v>
      </c>
      <c r="D312">
        <v>-28.9</v>
      </c>
      <c r="E312" s="42">
        <v>-2.4657031900000028</v>
      </c>
      <c r="F312" s="42">
        <f t="shared" si="13"/>
        <v>-0.28899999999999998</v>
      </c>
      <c r="G312" s="42">
        <f t="shared" si="13"/>
        <v>-2.4657031900000029E-2</v>
      </c>
      <c r="I312">
        <v>187</v>
      </c>
      <c r="J312" s="43">
        <v>43737</v>
      </c>
      <c r="K312" s="44">
        <v>0.5</v>
      </c>
      <c r="L312" s="47">
        <v>-10.45</v>
      </c>
      <c r="M312" s="42">
        <v>-3.303507025</v>
      </c>
      <c r="N312" s="42">
        <f t="shared" si="14"/>
        <v>-0.1045</v>
      </c>
      <c r="O312" s="42">
        <f t="shared" si="14"/>
        <v>-3.303507025E-2</v>
      </c>
      <c r="Q312">
        <v>207</v>
      </c>
      <c r="R312" s="43">
        <v>43751</v>
      </c>
      <c r="S312" s="44">
        <v>0.5</v>
      </c>
      <c r="T312" s="45">
        <v>-209.50000000000003</v>
      </c>
      <c r="U312" s="42">
        <v>-3.1</v>
      </c>
      <c r="V312" s="46">
        <f t="shared" si="15"/>
        <v>-2.0950000000000002</v>
      </c>
      <c r="W312" s="42">
        <f t="shared" si="15"/>
        <v>-3.1E-2</v>
      </c>
    </row>
    <row r="313" spans="1:23" x14ac:dyDescent="0.2">
      <c r="A313">
        <v>185</v>
      </c>
      <c r="B313" s="43">
        <v>43750</v>
      </c>
      <c r="C313" s="44">
        <v>0.5</v>
      </c>
      <c r="D313">
        <v>-30.882999999999999</v>
      </c>
      <c r="E313" s="42">
        <v>-2.5157031900000035</v>
      </c>
      <c r="F313" s="42">
        <f t="shared" si="13"/>
        <v>-0.30882999999999999</v>
      </c>
      <c r="G313" s="42">
        <f t="shared" si="13"/>
        <v>-2.5157031900000036E-2</v>
      </c>
      <c r="I313">
        <v>188</v>
      </c>
      <c r="J313" s="43">
        <v>43738</v>
      </c>
      <c r="K313" s="44">
        <v>0.5</v>
      </c>
      <c r="L313" s="47">
        <v>-11.617000000000001</v>
      </c>
      <c r="M313" s="42">
        <v>-2.9687376699999999</v>
      </c>
      <c r="N313" s="42">
        <f t="shared" si="14"/>
        <v>-0.11617000000000001</v>
      </c>
      <c r="O313" s="42">
        <f t="shared" si="14"/>
        <v>-2.96873767E-2</v>
      </c>
      <c r="Q313">
        <v>208</v>
      </c>
      <c r="R313" s="43">
        <v>43752</v>
      </c>
      <c r="S313" s="44">
        <v>0.5</v>
      </c>
      <c r="T313" s="45">
        <v>-209.79999999999998</v>
      </c>
      <c r="U313" s="42">
        <v>-3.15</v>
      </c>
      <c r="V313" s="46">
        <f t="shared" si="15"/>
        <v>-2.0979999999999999</v>
      </c>
      <c r="W313" s="42">
        <f t="shared" si="15"/>
        <v>-3.15E-2</v>
      </c>
    </row>
    <row r="314" spans="1:23" x14ac:dyDescent="0.2">
      <c r="A314">
        <v>186</v>
      </c>
      <c r="B314" s="43">
        <v>43751</v>
      </c>
      <c r="C314" s="44">
        <v>0.5</v>
      </c>
      <c r="D314">
        <v>-32.924999999999997</v>
      </c>
      <c r="E314" s="42">
        <v>-2.5657031900000042</v>
      </c>
      <c r="F314" s="42">
        <f t="shared" si="13"/>
        <v>-0.32924999999999999</v>
      </c>
      <c r="G314" s="42">
        <f t="shared" si="13"/>
        <v>-2.5657031900000044E-2</v>
      </c>
      <c r="I314">
        <v>189</v>
      </c>
      <c r="J314" s="43">
        <v>43739</v>
      </c>
      <c r="K314" s="44">
        <v>0.5</v>
      </c>
      <c r="L314" s="47">
        <v>-11.266999999999999</v>
      </c>
      <c r="M314" s="42">
        <v>-3.1535070250000001</v>
      </c>
      <c r="N314" s="42">
        <f t="shared" si="14"/>
        <v>-0.11266999999999999</v>
      </c>
      <c r="O314" s="42">
        <f t="shared" si="14"/>
        <v>-3.1535070249999998E-2</v>
      </c>
      <c r="Q314">
        <v>209</v>
      </c>
      <c r="R314" s="43">
        <v>43753</v>
      </c>
      <c r="S314" s="44">
        <v>0.5</v>
      </c>
      <c r="T314" s="45">
        <v>-210.1</v>
      </c>
      <c r="U314" s="42">
        <v>-3.15</v>
      </c>
      <c r="V314" s="46">
        <f t="shared" si="15"/>
        <v>-2.101</v>
      </c>
      <c r="W314" s="42">
        <f t="shared" si="15"/>
        <v>-3.15E-2</v>
      </c>
    </row>
    <row r="315" spans="1:23" x14ac:dyDescent="0.2">
      <c r="A315">
        <v>187</v>
      </c>
      <c r="B315" s="43">
        <v>43752</v>
      </c>
      <c r="C315" s="44">
        <v>0.5</v>
      </c>
      <c r="D315">
        <v>-34.442</v>
      </c>
      <c r="E315" s="42">
        <v>-2.5157031900000035</v>
      </c>
      <c r="F315" s="42">
        <f t="shared" si="13"/>
        <v>-0.34442</v>
      </c>
      <c r="G315" s="42">
        <f t="shared" si="13"/>
        <v>-2.5157031900000036E-2</v>
      </c>
      <c r="I315">
        <v>190</v>
      </c>
      <c r="J315" s="43">
        <v>43740</v>
      </c>
      <c r="K315" s="44">
        <v>0.5</v>
      </c>
      <c r="L315" s="47">
        <v>-12.083</v>
      </c>
      <c r="M315" s="42">
        <v>-2.9799691190000002</v>
      </c>
      <c r="N315" s="42">
        <f t="shared" si="14"/>
        <v>-0.12083000000000001</v>
      </c>
      <c r="O315" s="42">
        <f t="shared" si="14"/>
        <v>-2.9799691190000002E-2</v>
      </c>
      <c r="Q315">
        <v>210</v>
      </c>
      <c r="R315" s="43">
        <v>43754</v>
      </c>
      <c r="S315" s="44">
        <v>0.5</v>
      </c>
      <c r="T315" s="45">
        <v>-210.4</v>
      </c>
      <c r="U315" s="42">
        <v>-3.2</v>
      </c>
      <c r="V315" s="46">
        <f t="shared" si="15"/>
        <v>-2.1040000000000001</v>
      </c>
      <c r="W315" s="42">
        <f t="shared" si="15"/>
        <v>-3.2000000000000001E-2</v>
      </c>
    </row>
    <row r="316" spans="1:23" x14ac:dyDescent="0.2">
      <c r="A316">
        <v>188</v>
      </c>
      <c r="B316" s="43">
        <v>43753</v>
      </c>
      <c r="C316" s="44">
        <v>0.5</v>
      </c>
      <c r="D316">
        <v>-33.450000000000003</v>
      </c>
      <c r="E316" s="42">
        <v>-2.5157031900000035</v>
      </c>
      <c r="F316" s="42">
        <f t="shared" si="13"/>
        <v>-0.33450000000000002</v>
      </c>
      <c r="G316" s="42">
        <f t="shared" si="13"/>
        <v>-2.5157031900000036E-2</v>
      </c>
      <c r="I316">
        <v>191</v>
      </c>
      <c r="J316" s="43">
        <v>43741</v>
      </c>
      <c r="K316" s="44">
        <v>0.5</v>
      </c>
      <c r="L316" s="47">
        <v>7.2249999999999996</v>
      </c>
      <c r="M316" s="42">
        <v>-3.1035070249999999</v>
      </c>
      <c r="N316" s="42">
        <f t="shared" si="14"/>
        <v>7.2249999999999995E-2</v>
      </c>
      <c r="O316" s="42">
        <f t="shared" si="14"/>
        <v>-3.1035070249999998E-2</v>
      </c>
      <c r="Q316">
        <v>211</v>
      </c>
      <c r="R316" s="43">
        <v>43755</v>
      </c>
      <c r="S316" s="44">
        <v>0.5</v>
      </c>
      <c r="T316" s="45">
        <v>-210.6</v>
      </c>
      <c r="U316" s="42">
        <v>-3.25</v>
      </c>
      <c r="V316" s="46">
        <f t="shared" si="15"/>
        <v>-2.1059999999999999</v>
      </c>
      <c r="W316" s="42">
        <f t="shared" si="15"/>
        <v>-3.2500000000000001E-2</v>
      </c>
    </row>
    <row r="317" spans="1:23" x14ac:dyDescent="0.2">
      <c r="A317">
        <v>189</v>
      </c>
      <c r="B317" s="43">
        <v>43754</v>
      </c>
      <c r="C317" s="44">
        <v>0.5</v>
      </c>
      <c r="D317">
        <v>-29.542000000000002</v>
      </c>
      <c r="E317" s="42">
        <v>-2.5657031900000042</v>
      </c>
      <c r="F317" s="42">
        <f t="shared" si="13"/>
        <v>-0.29542000000000002</v>
      </c>
      <c r="G317" s="42">
        <f t="shared" si="13"/>
        <v>-2.5657031900000044E-2</v>
      </c>
      <c r="I317">
        <v>192</v>
      </c>
      <c r="J317" s="43">
        <v>43742</v>
      </c>
      <c r="K317" s="44">
        <v>0.5</v>
      </c>
      <c r="L317" s="47">
        <v>9.6170000000000009</v>
      </c>
      <c r="M317" s="42">
        <v>-2.3741769000000001</v>
      </c>
      <c r="N317" s="42">
        <f t="shared" si="14"/>
        <v>9.6170000000000005E-2</v>
      </c>
      <c r="O317" s="42">
        <f t="shared" si="14"/>
        <v>-2.3741769000000003E-2</v>
      </c>
      <c r="Q317">
        <v>212</v>
      </c>
      <c r="R317" s="43">
        <v>43756</v>
      </c>
      <c r="S317" s="44">
        <v>0.5</v>
      </c>
      <c r="T317" s="45">
        <v>-161.1</v>
      </c>
      <c r="U317" s="42">
        <v>-2.35</v>
      </c>
      <c r="V317" s="46">
        <f t="shared" si="15"/>
        <v>-1.611</v>
      </c>
      <c r="W317" s="42">
        <f t="shared" si="15"/>
        <v>-2.35E-2</v>
      </c>
    </row>
    <row r="318" spans="1:23" x14ac:dyDescent="0.2">
      <c r="A318">
        <v>190</v>
      </c>
      <c r="B318" s="43">
        <v>43755</v>
      </c>
      <c r="C318" s="44">
        <v>0.5</v>
      </c>
      <c r="D318">
        <v>-21.55</v>
      </c>
      <c r="E318" s="42">
        <v>-2.4657031900000028</v>
      </c>
      <c r="F318" s="42">
        <f t="shared" si="13"/>
        <v>-0.2155</v>
      </c>
      <c r="G318" s="42">
        <f t="shared" si="13"/>
        <v>-2.4657031900000029E-2</v>
      </c>
      <c r="I318">
        <v>193</v>
      </c>
      <c r="J318" s="43">
        <v>43743</v>
      </c>
      <c r="K318" s="44">
        <v>0.5</v>
      </c>
      <c r="L318" s="47">
        <v>9.5579999999999998</v>
      </c>
      <c r="M318" s="42">
        <v>-2.2535070250000002</v>
      </c>
      <c r="N318" s="42">
        <f t="shared" si="14"/>
        <v>9.5579999999999998E-2</v>
      </c>
      <c r="O318" s="42">
        <f t="shared" si="14"/>
        <v>-2.2535070250000001E-2</v>
      </c>
      <c r="Q318">
        <v>213</v>
      </c>
      <c r="R318" s="43">
        <v>43757</v>
      </c>
      <c r="S318" s="44">
        <v>0.5</v>
      </c>
      <c r="T318" s="45">
        <v>-162.30000000000001</v>
      </c>
      <c r="U318" s="42">
        <v>-2.2999999999999998</v>
      </c>
      <c r="V318" s="46">
        <f t="shared" si="15"/>
        <v>-1.6230000000000002</v>
      </c>
      <c r="W318" s="42">
        <f t="shared" si="15"/>
        <v>-2.3E-2</v>
      </c>
    </row>
    <row r="319" spans="1:23" x14ac:dyDescent="0.2">
      <c r="A319">
        <v>191</v>
      </c>
      <c r="B319" s="43">
        <v>43756</v>
      </c>
      <c r="C319" s="44">
        <v>0.5</v>
      </c>
      <c r="D319">
        <v>-17.058</v>
      </c>
      <c r="E319" s="42">
        <v>-2.4657031900000028</v>
      </c>
      <c r="F319" s="42">
        <f t="shared" si="13"/>
        <v>-0.17058000000000001</v>
      </c>
      <c r="G319" s="42">
        <f t="shared" si="13"/>
        <v>-2.4657031900000029E-2</v>
      </c>
      <c r="I319">
        <v>194</v>
      </c>
      <c r="J319" s="43">
        <v>43744</v>
      </c>
      <c r="K319" s="44">
        <v>0.5</v>
      </c>
      <c r="L319" s="47">
        <v>7.4</v>
      </c>
      <c r="M319" s="42">
        <v>-2.203747699</v>
      </c>
      <c r="N319" s="42">
        <f t="shared" si="14"/>
        <v>7.400000000000001E-2</v>
      </c>
      <c r="O319" s="42">
        <f t="shared" si="14"/>
        <v>-2.2037476989999999E-2</v>
      </c>
      <c r="Q319">
        <v>214</v>
      </c>
      <c r="R319" s="43">
        <v>43758</v>
      </c>
      <c r="S319" s="44">
        <v>0.5</v>
      </c>
      <c r="T319" s="45">
        <v>-164.1</v>
      </c>
      <c r="U319" s="42">
        <v>-2.2999999999999998</v>
      </c>
      <c r="V319" s="46">
        <f t="shared" si="15"/>
        <v>-1.641</v>
      </c>
      <c r="W319" s="42">
        <f t="shared" si="15"/>
        <v>-2.3E-2</v>
      </c>
    </row>
    <row r="320" spans="1:23" x14ac:dyDescent="0.2">
      <c r="A320">
        <v>192</v>
      </c>
      <c r="B320" s="43">
        <v>43757</v>
      </c>
      <c r="C320" s="44">
        <v>0.5</v>
      </c>
      <c r="D320">
        <v>-14.9</v>
      </c>
      <c r="E320" s="42">
        <v>-2.4157031900000021</v>
      </c>
      <c r="F320" s="42">
        <f t="shared" si="13"/>
        <v>-0.14899999999999999</v>
      </c>
      <c r="G320" s="42">
        <f t="shared" si="13"/>
        <v>-2.4157031900000021E-2</v>
      </c>
      <c r="I320">
        <v>195</v>
      </c>
      <c r="J320" s="43">
        <v>43745</v>
      </c>
      <c r="K320" s="44">
        <v>0.5</v>
      </c>
      <c r="L320" s="47">
        <v>10.55</v>
      </c>
      <c r="M320" s="42">
        <v>-2.1775142449999998</v>
      </c>
      <c r="N320" s="42">
        <f t="shared" si="14"/>
        <v>0.10550000000000001</v>
      </c>
      <c r="O320" s="42">
        <f t="shared" si="14"/>
        <v>-2.1775142449999996E-2</v>
      </c>
      <c r="Q320">
        <v>215</v>
      </c>
      <c r="R320" s="43">
        <v>43759</v>
      </c>
      <c r="S320" s="44">
        <v>0.5</v>
      </c>
      <c r="T320" s="45">
        <v>-164.2</v>
      </c>
      <c r="U320" s="42">
        <v>-2.2999999999999998</v>
      </c>
      <c r="V320" s="46">
        <f t="shared" si="15"/>
        <v>-1.6419999999999999</v>
      </c>
      <c r="W320" s="42">
        <f t="shared" si="15"/>
        <v>-2.3E-2</v>
      </c>
    </row>
    <row r="321" spans="1:23" x14ac:dyDescent="0.2">
      <c r="A321">
        <v>193</v>
      </c>
      <c r="B321" s="43">
        <v>43758</v>
      </c>
      <c r="C321" s="44">
        <v>0.5</v>
      </c>
      <c r="D321">
        <v>-15.833</v>
      </c>
      <c r="E321" s="42">
        <v>-2.365703190000005</v>
      </c>
      <c r="F321" s="42">
        <f t="shared" si="13"/>
        <v>-0.15833</v>
      </c>
      <c r="G321" s="42">
        <f t="shared" si="13"/>
        <v>-2.3657031900000049E-2</v>
      </c>
      <c r="I321">
        <v>196</v>
      </c>
      <c r="J321" s="43">
        <v>43746</v>
      </c>
      <c r="K321" s="44">
        <v>0.5</v>
      </c>
      <c r="L321" s="47">
        <v>9.9670000000000005</v>
      </c>
      <c r="M321" s="42">
        <v>-2.0820822350000001</v>
      </c>
      <c r="N321" s="42">
        <f t="shared" si="14"/>
        <v>9.9670000000000009E-2</v>
      </c>
      <c r="O321" s="42">
        <f t="shared" si="14"/>
        <v>-2.082082235E-2</v>
      </c>
      <c r="Q321">
        <v>216</v>
      </c>
      <c r="R321" s="43">
        <v>43760</v>
      </c>
      <c r="S321" s="44">
        <v>0.5</v>
      </c>
      <c r="T321" s="45">
        <v>-163.6</v>
      </c>
      <c r="U321" s="42">
        <v>-2.2999999999999998</v>
      </c>
      <c r="V321" s="46">
        <f t="shared" si="15"/>
        <v>-1.6359999999999999</v>
      </c>
      <c r="W321" s="42">
        <f t="shared" si="15"/>
        <v>-2.3E-2</v>
      </c>
    </row>
    <row r="322" spans="1:23" x14ac:dyDescent="0.2">
      <c r="A322">
        <v>194</v>
      </c>
      <c r="B322" s="43">
        <v>43759</v>
      </c>
      <c r="C322" s="44">
        <v>0.5</v>
      </c>
      <c r="D322">
        <v>-10.233000000000001</v>
      </c>
      <c r="E322" s="42">
        <v>-2.2157031900000028</v>
      </c>
      <c r="F322" s="42">
        <f t="shared" si="13"/>
        <v>-0.10233</v>
      </c>
      <c r="G322" s="42">
        <f t="shared" si="13"/>
        <v>-2.2157031900000027E-2</v>
      </c>
      <c r="I322">
        <v>197</v>
      </c>
      <c r="J322" s="43">
        <v>43747</v>
      </c>
      <c r="K322" s="44">
        <v>0.5</v>
      </c>
      <c r="L322" s="47">
        <v>11.717000000000001</v>
      </c>
      <c r="M322" s="42">
        <v>-2.1035070249999999</v>
      </c>
      <c r="N322" s="42">
        <f t="shared" si="14"/>
        <v>0.11717000000000001</v>
      </c>
      <c r="O322" s="42">
        <f t="shared" si="14"/>
        <v>-2.1035070249999999E-2</v>
      </c>
      <c r="Q322">
        <v>217</v>
      </c>
      <c r="R322" s="43">
        <v>43761</v>
      </c>
      <c r="S322" s="44">
        <v>0.5</v>
      </c>
      <c r="T322" s="45">
        <v>-162.9</v>
      </c>
      <c r="U322" s="42">
        <v>-2.25</v>
      </c>
      <c r="V322" s="46">
        <f t="shared" si="15"/>
        <v>-1.629</v>
      </c>
      <c r="W322" s="42">
        <f t="shared" si="15"/>
        <v>-2.2499999999999999E-2</v>
      </c>
    </row>
    <row r="323" spans="1:23" x14ac:dyDescent="0.2">
      <c r="A323">
        <v>195</v>
      </c>
      <c r="B323" s="43">
        <v>43760</v>
      </c>
      <c r="C323" s="44">
        <v>0.5</v>
      </c>
      <c r="D323">
        <v>-12.858000000000001</v>
      </c>
      <c r="E323" s="42">
        <v>-2.3157031900000042</v>
      </c>
      <c r="F323" s="42">
        <f t="shared" si="13"/>
        <v>-0.12858</v>
      </c>
      <c r="G323" s="42">
        <f t="shared" si="13"/>
        <v>-2.3157031900000041E-2</v>
      </c>
      <c r="I323">
        <v>198</v>
      </c>
      <c r="J323" s="43">
        <v>43748</v>
      </c>
      <c r="K323" s="44">
        <v>0.5</v>
      </c>
      <c r="L323" s="47">
        <v>10.375</v>
      </c>
      <c r="M323" s="42">
        <v>-2.1035070249999999</v>
      </c>
      <c r="N323" s="42">
        <f t="shared" si="14"/>
        <v>0.10375</v>
      </c>
      <c r="O323" s="42">
        <f t="shared" si="14"/>
        <v>-2.1035070249999999E-2</v>
      </c>
      <c r="Q323">
        <v>218</v>
      </c>
      <c r="R323" s="43">
        <v>43762</v>
      </c>
      <c r="S323" s="44">
        <v>0.5</v>
      </c>
      <c r="T323" s="45">
        <v>-164.3</v>
      </c>
      <c r="U323" s="42">
        <v>-2.25</v>
      </c>
      <c r="V323" s="46">
        <f t="shared" si="15"/>
        <v>-1.643</v>
      </c>
      <c r="W323" s="42">
        <f t="shared" si="15"/>
        <v>-2.2499999999999999E-2</v>
      </c>
    </row>
    <row r="324" spans="1:23" x14ac:dyDescent="0.2">
      <c r="A324">
        <v>196</v>
      </c>
      <c r="B324" s="43">
        <v>43761</v>
      </c>
      <c r="C324" s="44">
        <v>0.5</v>
      </c>
      <c r="D324">
        <v>-10.175000000000001</v>
      </c>
      <c r="E324" s="42">
        <v>-2.2157031900000028</v>
      </c>
      <c r="F324" s="42">
        <f t="shared" si="13"/>
        <v>-0.10175000000000001</v>
      </c>
      <c r="G324" s="42">
        <f t="shared" si="13"/>
        <v>-2.2157031900000027E-2</v>
      </c>
      <c r="I324">
        <v>199</v>
      </c>
      <c r="J324" s="43">
        <v>43749</v>
      </c>
      <c r="K324" s="44">
        <v>0.5</v>
      </c>
      <c r="L324" s="47">
        <v>9.4420000000000002</v>
      </c>
      <c r="M324" s="42">
        <v>-2.1035070249999999</v>
      </c>
      <c r="N324" s="42">
        <f t="shared" si="14"/>
        <v>9.4420000000000004E-2</v>
      </c>
      <c r="O324" s="42">
        <f t="shared" si="14"/>
        <v>-2.1035070249999999E-2</v>
      </c>
      <c r="Q324">
        <v>219</v>
      </c>
      <c r="R324" s="43">
        <v>43763</v>
      </c>
      <c r="S324" s="44">
        <v>0.5</v>
      </c>
      <c r="T324" s="45">
        <v>-165</v>
      </c>
      <c r="U324" s="42">
        <v>-2.2999999999999998</v>
      </c>
      <c r="V324" s="46">
        <f t="shared" si="15"/>
        <v>-1.65</v>
      </c>
      <c r="W324" s="42">
        <f t="shared" si="15"/>
        <v>-2.3E-2</v>
      </c>
    </row>
    <row r="325" spans="1:23" x14ac:dyDescent="0.2">
      <c r="A325">
        <v>197</v>
      </c>
      <c r="B325" s="43">
        <v>43762</v>
      </c>
      <c r="C325" s="44">
        <v>0.5</v>
      </c>
      <c r="D325">
        <v>-5.0419999999999998</v>
      </c>
      <c r="E325" s="42">
        <v>-2.2157031900000028</v>
      </c>
      <c r="F325" s="42">
        <f t="shared" si="13"/>
        <v>-5.042E-2</v>
      </c>
      <c r="G325" s="42">
        <f t="shared" si="13"/>
        <v>-2.2157031900000027E-2</v>
      </c>
      <c r="I325">
        <v>200</v>
      </c>
      <c r="J325" s="43">
        <v>43750</v>
      </c>
      <c r="K325" s="44">
        <v>0.5</v>
      </c>
      <c r="L325" s="47">
        <v>8.2170000000000005</v>
      </c>
      <c r="M325" s="42">
        <v>-2.1535070250000001</v>
      </c>
      <c r="N325" s="42">
        <f t="shared" si="14"/>
        <v>8.2170000000000007E-2</v>
      </c>
      <c r="O325" s="42">
        <f t="shared" si="14"/>
        <v>-2.153507025E-2</v>
      </c>
      <c r="Q325">
        <v>220</v>
      </c>
      <c r="R325" s="43">
        <v>43764</v>
      </c>
      <c r="S325" s="44">
        <v>0.5</v>
      </c>
      <c r="T325" s="45">
        <v>-158.9</v>
      </c>
      <c r="U325" s="42">
        <v>-2.2999999999999998</v>
      </c>
      <c r="V325" s="46">
        <f t="shared" si="15"/>
        <v>-1.589</v>
      </c>
      <c r="W325" s="42">
        <f t="shared" si="15"/>
        <v>-2.3E-2</v>
      </c>
    </row>
    <row r="326" spans="1:23" x14ac:dyDescent="0.2">
      <c r="A326">
        <v>198</v>
      </c>
      <c r="B326" s="43">
        <v>43763</v>
      </c>
      <c r="C326" s="44">
        <v>0.5</v>
      </c>
      <c r="D326">
        <v>-7.7249999999999996</v>
      </c>
      <c r="E326" s="42">
        <v>-2.2157031900000028</v>
      </c>
      <c r="F326" s="42">
        <f t="shared" si="13"/>
        <v>-7.7249999999999999E-2</v>
      </c>
      <c r="G326" s="42">
        <f t="shared" si="13"/>
        <v>-2.2157031900000027E-2</v>
      </c>
      <c r="I326">
        <v>201</v>
      </c>
      <c r="J326" s="43">
        <v>43751</v>
      </c>
      <c r="K326" s="44">
        <v>0.5</v>
      </c>
      <c r="L326" s="47">
        <v>9.5579999999999998</v>
      </c>
      <c r="M326" s="42">
        <v>-2.203507025</v>
      </c>
      <c r="N326" s="42">
        <f t="shared" si="14"/>
        <v>9.5579999999999998E-2</v>
      </c>
      <c r="O326" s="42">
        <f t="shared" si="14"/>
        <v>-2.203507025E-2</v>
      </c>
      <c r="Q326">
        <v>221</v>
      </c>
      <c r="R326" s="43">
        <v>43765</v>
      </c>
      <c r="S326" s="44">
        <v>0.5</v>
      </c>
      <c r="T326" s="45">
        <v>-152.1</v>
      </c>
      <c r="U326" s="42">
        <v>-2.15</v>
      </c>
      <c r="V326" s="46">
        <f t="shared" si="15"/>
        <v>-1.5209999999999999</v>
      </c>
      <c r="W326" s="42">
        <f t="shared" si="15"/>
        <v>-2.1499999999999998E-2</v>
      </c>
    </row>
    <row r="327" spans="1:23" x14ac:dyDescent="0.2">
      <c r="A327">
        <v>199</v>
      </c>
      <c r="B327" s="43">
        <v>43764</v>
      </c>
      <c r="C327" s="44">
        <v>0.5</v>
      </c>
      <c r="D327">
        <v>-2.7080000000000002</v>
      </c>
      <c r="E327" s="42">
        <v>-2.1657031900000021</v>
      </c>
      <c r="F327" s="42">
        <f t="shared" si="13"/>
        <v>-2.7080000000000003E-2</v>
      </c>
      <c r="G327" s="42">
        <f t="shared" si="13"/>
        <v>-2.1657031900000023E-2</v>
      </c>
      <c r="I327">
        <v>202</v>
      </c>
      <c r="J327" s="43">
        <v>43752</v>
      </c>
      <c r="K327" s="44">
        <v>0.5</v>
      </c>
      <c r="L327" s="47">
        <v>12.125</v>
      </c>
      <c r="M327" s="42">
        <v>-2.1993347839999999</v>
      </c>
      <c r="N327" s="42">
        <f t="shared" si="14"/>
        <v>0.12125</v>
      </c>
      <c r="O327" s="42">
        <f t="shared" si="14"/>
        <v>-2.199334784E-2</v>
      </c>
      <c r="Q327">
        <v>222</v>
      </c>
      <c r="R327" s="43">
        <v>43766</v>
      </c>
      <c r="S327" s="44">
        <v>0.5</v>
      </c>
      <c r="T327" s="45">
        <v>-149</v>
      </c>
      <c r="U327" s="42">
        <v>-2.0499999999999998</v>
      </c>
      <c r="V327" s="46">
        <f t="shared" si="15"/>
        <v>-1.49</v>
      </c>
      <c r="W327" s="42">
        <f t="shared" si="15"/>
        <v>-2.0499999999999997E-2</v>
      </c>
    </row>
    <row r="328" spans="1:23" x14ac:dyDescent="0.2">
      <c r="A328">
        <v>200</v>
      </c>
      <c r="B328" s="43">
        <v>43765</v>
      </c>
      <c r="C328" s="44">
        <v>0.5</v>
      </c>
      <c r="D328">
        <v>-5.5670000000000002</v>
      </c>
      <c r="E328" s="42">
        <v>-2.2081781600000028</v>
      </c>
      <c r="F328" s="42">
        <f t="shared" si="13"/>
        <v>-5.5670000000000004E-2</v>
      </c>
      <c r="G328" s="42">
        <f t="shared" si="13"/>
        <v>-2.2081781600000027E-2</v>
      </c>
      <c r="I328">
        <v>203</v>
      </c>
      <c r="J328" s="43">
        <v>43753</v>
      </c>
      <c r="K328" s="44">
        <v>0.5</v>
      </c>
      <c r="L328" s="47">
        <v>14.75</v>
      </c>
      <c r="M328" s="42">
        <v>-2.1029061370000002</v>
      </c>
      <c r="N328" s="42">
        <f t="shared" si="14"/>
        <v>0.14749999999999999</v>
      </c>
      <c r="O328" s="42">
        <f t="shared" si="14"/>
        <v>-2.1029061370000001E-2</v>
      </c>
      <c r="Q328">
        <v>223</v>
      </c>
      <c r="R328" s="43">
        <v>43767</v>
      </c>
      <c r="S328" s="44">
        <v>0.5</v>
      </c>
      <c r="T328" s="45">
        <v>-150</v>
      </c>
      <c r="U328" s="42">
        <v>-2</v>
      </c>
      <c r="V328" s="46">
        <f t="shared" si="15"/>
        <v>-1.5</v>
      </c>
      <c r="W328" s="42">
        <f t="shared" si="15"/>
        <v>-0.02</v>
      </c>
    </row>
    <row r="329" spans="1:23" x14ac:dyDescent="0.2">
      <c r="A329">
        <v>201</v>
      </c>
      <c r="B329" s="43">
        <v>43766</v>
      </c>
      <c r="C329" s="44">
        <v>0.5</v>
      </c>
      <c r="D329">
        <v>-6.5</v>
      </c>
      <c r="E329" s="42">
        <v>-2.1657031900000021</v>
      </c>
      <c r="F329" s="42">
        <f t="shared" si="13"/>
        <v>-6.5000000000000002E-2</v>
      </c>
      <c r="G329" s="42">
        <f t="shared" si="13"/>
        <v>-2.1657031900000023E-2</v>
      </c>
      <c r="I329">
        <v>204</v>
      </c>
      <c r="J329" s="43">
        <v>43754</v>
      </c>
      <c r="K329" s="44">
        <v>0.5</v>
      </c>
      <c r="L329" s="47">
        <v>13.757999999999999</v>
      </c>
      <c r="M329" s="42">
        <v>-2.0144503970000001</v>
      </c>
      <c r="N329" s="42">
        <f t="shared" si="14"/>
        <v>0.13757999999999998</v>
      </c>
      <c r="O329" s="42">
        <f t="shared" si="14"/>
        <v>-2.0144503970000002E-2</v>
      </c>
      <c r="Q329">
        <v>224</v>
      </c>
      <c r="R329" s="43">
        <v>43768</v>
      </c>
      <c r="S329" s="44">
        <v>0.5</v>
      </c>
      <c r="T329" s="45">
        <v>-151.6</v>
      </c>
      <c r="U329" s="42">
        <v>-2</v>
      </c>
      <c r="V329" s="46">
        <f t="shared" si="15"/>
        <v>-1.516</v>
      </c>
      <c r="W329" s="42">
        <f t="shared" si="15"/>
        <v>-0.02</v>
      </c>
    </row>
    <row r="330" spans="1:23" x14ac:dyDescent="0.2">
      <c r="A330">
        <v>202</v>
      </c>
      <c r="B330" s="43">
        <v>43767</v>
      </c>
      <c r="C330" s="44">
        <v>0.5</v>
      </c>
      <c r="D330">
        <v>-7.0250000000000004</v>
      </c>
      <c r="E330" s="42">
        <v>-2.1657031900000021</v>
      </c>
      <c r="F330" s="42">
        <f t="shared" si="13"/>
        <v>-7.0250000000000007E-2</v>
      </c>
      <c r="G330" s="42">
        <f t="shared" si="13"/>
        <v>-2.1657031900000023E-2</v>
      </c>
      <c r="I330">
        <v>205</v>
      </c>
      <c r="J330" s="43">
        <v>43755</v>
      </c>
      <c r="K330" s="44">
        <v>0.5</v>
      </c>
      <c r="L330" s="47">
        <v>17.433</v>
      </c>
      <c r="M330" s="42">
        <v>-1.996105279</v>
      </c>
      <c r="N330" s="42">
        <f t="shared" si="14"/>
        <v>0.17432999999999998</v>
      </c>
      <c r="O330" s="42">
        <f t="shared" si="14"/>
        <v>-1.9961052789999999E-2</v>
      </c>
      <c r="Q330">
        <v>225</v>
      </c>
      <c r="R330" s="43">
        <v>43769</v>
      </c>
      <c r="S330" s="44">
        <v>0.5</v>
      </c>
      <c r="T330" s="45">
        <v>-153.69999999999999</v>
      </c>
      <c r="U330" s="42">
        <v>-1.95</v>
      </c>
      <c r="V330" s="46">
        <f t="shared" si="15"/>
        <v>-1.5369999999999999</v>
      </c>
      <c r="W330" s="42">
        <f t="shared" si="15"/>
        <v>-1.95E-2</v>
      </c>
    </row>
    <row r="331" spans="1:23" x14ac:dyDescent="0.2">
      <c r="A331">
        <v>203</v>
      </c>
      <c r="B331" s="43">
        <v>43768</v>
      </c>
      <c r="C331" s="44">
        <v>0.5</v>
      </c>
      <c r="D331">
        <v>-7.7830000000000004</v>
      </c>
      <c r="E331" s="42">
        <v>-2.115703190000005</v>
      </c>
      <c r="F331" s="42">
        <f t="shared" ref="F331:G394" si="16">D331/100</f>
        <v>-7.783000000000001E-2</v>
      </c>
      <c r="G331" s="42">
        <f t="shared" si="16"/>
        <v>-2.115703190000005E-2</v>
      </c>
      <c r="I331">
        <v>206</v>
      </c>
      <c r="J331" s="43">
        <v>43756</v>
      </c>
      <c r="K331" s="44">
        <v>0.5</v>
      </c>
      <c r="L331" s="47">
        <v>19.358000000000001</v>
      </c>
      <c r="M331" s="42">
        <v>-1.8535070250000001</v>
      </c>
      <c r="N331" s="42">
        <f t="shared" si="14"/>
        <v>0.19358</v>
      </c>
      <c r="O331" s="42">
        <f t="shared" si="14"/>
        <v>-1.8535070250000001E-2</v>
      </c>
      <c r="Q331">
        <v>226</v>
      </c>
      <c r="R331" s="43">
        <v>43770</v>
      </c>
      <c r="S331" s="44">
        <v>0.5</v>
      </c>
      <c r="T331" s="45">
        <v>-133.5</v>
      </c>
      <c r="U331" s="42">
        <v>-1.7</v>
      </c>
      <c r="V331" s="46">
        <f t="shared" si="15"/>
        <v>-1.335</v>
      </c>
      <c r="W331" s="42">
        <f t="shared" si="15"/>
        <v>-1.7000000000000001E-2</v>
      </c>
    </row>
    <row r="332" spans="1:23" x14ac:dyDescent="0.2">
      <c r="A332">
        <v>204</v>
      </c>
      <c r="B332" s="43">
        <v>43769</v>
      </c>
      <c r="C332" s="44">
        <v>0.5</v>
      </c>
      <c r="D332">
        <v>-8.6</v>
      </c>
      <c r="E332" s="42">
        <v>-2.1657031900000021</v>
      </c>
      <c r="F332" s="42">
        <f t="shared" si="16"/>
        <v>-8.5999999999999993E-2</v>
      </c>
      <c r="G332" s="42">
        <f t="shared" si="16"/>
        <v>-2.1657031900000023E-2</v>
      </c>
      <c r="I332">
        <v>207</v>
      </c>
      <c r="J332" s="43">
        <v>43757</v>
      </c>
      <c r="K332" s="44">
        <v>0.5</v>
      </c>
      <c r="L332" s="47">
        <v>18.600000000000001</v>
      </c>
      <c r="M332" s="42">
        <v>-1.878390775</v>
      </c>
      <c r="N332" s="42">
        <f t="shared" si="14"/>
        <v>0.18600000000000003</v>
      </c>
      <c r="O332" s="42">
        <f t="shared" si="14"/>
        <v>-1.8783907749999999E-2</v>
      </c>
      <c r="Q332">
        <v>227</v>
      </c>
      <c r="R332" s="43">
        <v>43771</v>
      </c>
      <c r="S332" s="44">
        <v>0.5</v>
      </c>
      <c r="T332" s="45">
        <v>-129.4</v>
      </c>
      <c r="U332" s="42">
        <v>-1.65</v>
      </c>
      <c r="V332" s="46">
        <f t="shared" si="15"/>
        <v>-1.294</v>
      </c>
      <c r="W332" s="42">
        <f t="shared" si="15"/>
        <v>-1.6500000000000001E-2</v>
      </c>
    </row>
    <row r="333" spans="1:23" x14ac:dyDescent="0.2">
      <c r="A333">
        <v>205</v>
      </c>
      <c r="B333" s="43">
        <v>43770</v>
      </c>
      <c r="C333" s="44">
        <v>0.5</v>
      </c>
      <c r="D333">
        <v>-4.1669999999999998</v>
      </c>
      <c r="E333" s="42">
        <v>-2.115703190000005</v>
      </c>
      <c r="F333" s="42">
        <f t="shared" si="16"/>
        <v>-4.1669999999999999E-2</v>
      </c>
      <c r="G333" s="42">
        <f t="shared" si="16"/>
        <v>-2.115703190000005E-2</v>
      </c>
      <c r="I333">
        <v>208</v>
      </c>
      <c r="J333" s="43">
        <v>43758</v>
      </c>
      <c r="K333" s="44">
        <v>0.5</v>
      </c>
      <c r="L333" s="47">
        <v>18.483000000000001</v>
      </c>
      <c r="M333" s="42">
        <v>-1.8535070250000001</v>
      </c>
      <c r="N333" s="42">
        <f t="shared" si="14"/>
        <v>0.18482999999999999</v>
      </c>
      <c r="O333" s="42">
        <f t="shared" si="14"/>
        <v>-1.8535070250000001E-2</v>
      </c>
      <c r="Q333">
        <v>228</v>
      </c>
      <c r="R333" s="43">
        <v>43772</v>
      </c>
      <c r="S333" s="44">
        <v>0.5</v>
      </c>
      <c r="T333" s="45">
        <v>-131.29999999999998</v>
      </c>
      <c r="U333" s="42">
        <v>-1.55</v>
      </c>
      <c r="V333" s="46">
        <f t="shared" si="15"/>
        <v>-1.3129999999999997</v>
      </c>
      <c r="W333" s="42">
        <f t="shared" si="15"/>
        <v>-1.55E-2</v>
      </c>
    </row>
    <row r="334" spans="1:23" x14ac:dyDescent="0.2">
      <c r="A334">
        <v>206</v>
      </c>
      <c r="B334" s="43">
        <v>43771</v>
      </c>
      <c r="C334" s="44">
        <v>0.5</v>
      </c>
      <c r="D334">
        <v>0.15</v>
      </c>
      <c r="E334" s="42">
        <v>-2.1657031900000021</v>
      </c>
      <c r="F334" s="42">
        <f t="shared" si="16"/>
        <v>1.5E-3</v>
      </c>
      <c r="G334" s="42">
        <f t="shared" si="16"/>
        <v>-2.1657031900000023E-2</v>
      </c>
      <c r="I334">
        <v>209</v>
      </c>
      <c r="J334" s="43">
        <v>43759</v>
      </c>
      <c r="K334" s="44">
        <v>0.5</v>
      </c>
      <c r="L334" s="47">
        <v>16.207999999999998</v>
      </c>
      <c r="M334" s="42">
        <v>-1.8535070250000001</v>
      </c>
      <c r="N334" s="42">
        <f t="shared" ref="N334:O397" si="17">L334/100</f>
        <v>0.16207999999999997</v>
      </c>
      <c r="O334" s="42">
        <f t="shared" si="17"/>
        <v>-1.8535070250000001E-2</v>
      </c>
      <c r="Q334">
        <v>229</v>
      </c>
      <c r="R334" s="43">
        <v>43773</v>
      </c>
      <c r="S334" s="44">
        <v>0.5</v>
      </c>
      <c r="T334" s="45">
        <v>-131.69999999999999</v>
      </c>
      <c r="U334" s="42">
        <v>-1.5</v>
      </c>
      <c r="V334" s="46">
        <f t="shared" si="15"/>
        <v>-1.3169999999999999</v>
      </c>
      <c r="W334" s="42">
        <f t="shared" si="15"/>
        <v>-1.4999999999999999E-2</v>
      </c>
    </row>
    <row r="335" spans="1:23" x14ac:dyDescent="0.2">
      <c r="A335">
        <v>207</v>
      </c>
      <c r="B335" s="43">
        <v>43772</v>
      </c>
      <c r="C335" s="44">
        <v>0.5</v>
      </c>
      <c r="D335">
        <v>-2.008</v>
      </c>
      <c r="E335" s="42">
        <v>-2.0157031900000035</v>
      </c>
      <c r="F335" s="42">
        <f t="shared" si="16"/>
        <v>-2.0080000000000001E-2</v>
      </c>
      <c r="G335" s="42">
        <f t="shared" si="16"/>
        <v>-2.0157031900000035E-2</v>
      </c>
      <c r="I335">
        <v>210</v>
      </c>
      <c r="J335" s="43">
        <v>43760</v>
      </c>
      <c r="K335" s="44">
        <v>0.5</v>
      </c>
      <c r="L335" s="47">
        <v>18.891999999999999</v>
      </c>
      <c r="M335" s="42">
        <v>-1.8535070250000001</v>
      </c>
      <c r="N335" s="42">
        <f t="shared" si="17"/>
        <v>0.18892</v>
      </c>
      <c r="O335" s="42">
        <f t="shared" si="17"/>
        <v>-1.8535070250000001E-2</v>
      </c>
      <c r="Q335">
        <v>230</v>
      </c>
      <c r="R335" s="43">
        <v>43774</v>
      </c>
      <c r="S335" s="44">
        <v>0.5</v>
      </c>
      <c r="T335" s="45">
        <v>-133.20000000000002</v>
      </c>
      <c r="U335" s="42">
        <v>-1.55</v>
      </c>
      <c r="V335" s="46">
        <f t="shared" si="15"/>
        <v>-1.3320000000000001</v>
      </c>
      <c r="W335" s="42">
        <f t="shared" si="15"/>
        <v>-1.55E-2</v>
      </c>
    </row>
    <row r="336" spans="1:23" x14ac:dyDescent="0.2">
      <c r="A336">
        <v>208</v>
      </c>
      <c r="B336" s="43">
        <v>43773</v>
      </c>
      <c r="C336" s="44">
        <v>0.5</v>
      </c>
      <c r="D336">
        <v>-0.375</v>
      </c>
      <c r="E336" s="42">
        <v>-1.9779059500000038</v>
      </c>
      <c r="F336" s="42">
        <f t="shared" si="16"/>
        <v>-3.7499999999999999E-3</v>
      </c>
      <c r="G336" s="42">
        <f t="shared" si="16"/>
        <v>-1.977905950000004E-2</v>
      </c>
      <c r="I336">
        <v>211</v>
      </c>
      <c r="J336" s="43">
        <v>43761</v>
      </c>
      <c r="K336" s="44">
        <v>0.5</v>
      </c>
      <c r="L336" s="47">
        <v>24.55</v>
      </c>
      <c r="M336" s="42">
        <v>-1.8535070250000001</v>
      </c>
      <c r="N336" s="42">
        <f t="shared" si="17"/>
        <v>0.2455</v>
      </c>
      <c r="O336" s="42">
        <f t="shared" si="17"/>
        <v>-1.8535070250000001E-2</v>
      </c>
      <c r="Q336">
        <v>231</v>
      </c>
      <c r="R336" s="43">
        <v>43775</v>
      </c>
      <c r="S336" s="44">
        <v>0.5</v>
      </c>
      <c r="T336" s="45">
        <v>-135.20000000000002</v>
      </c>
      <c r="U336" s="42">
        <v>-1.55</v>
      </c>
      <c r="V336" s="46">
        <f t="shared" si="15"/>
        <v>-1.3520000000000001</v>
      </c>
      <c r="W336" s="42">
        <f t="shared" si="15"/>
        <v>-1.55E-2</v>
      </c>
    </row>
    <row r="337" spans="1:23" x14ac:dyDescent="0.2">
      <c r="A337">
        <v>209</v>
      </c>
      <c r="B337" s="43">
        <v>43774</v>
      </c>
      <c r="C337" s="44">
        <v>0.5</v>
      </c>
      <c r="D337">
        <v>0.442</v>
      </c>
      <c r="E337" s="42">
        <v>-1.9657031900000028</v>
      </c>
      <c r="F337" s="42">
        <f t="shared" si="16"/>
        <v>4.4200000000000003E-3</v>
      </c>
      <c r="G337" s="42">
        <f t="shared" si="16"/>
        <v>-1.9657031900000028E-2</v>
      </c>
      <c r="I337">
        <v>212</v>
      </c>
      <c r="J337" s="43">
        <v>43762</v>
      </c>
      <c r="K337" s="44">
        <v>0.5</v>
      </c>
      <c r="L337" s="47">
        <v>19.183</v>
      </c>
      <c r="M337" s="42">
        <v>-1.8535070250000001</v>
      </c>
      <c r="N337" s="42">
        <f t="shared" si="17"/>
        <v>0.19183</v>
      </c>
      <c r="O337" s="42">
        <f t="shared" si="17"/>
        <v>-1.8535070250000001E-2</v>
      </c>
      <c r="Q337">
        <v>232</v>
      </c>
      <c r="R337" s="43">
        <v>43776</v>
      </c>
      <c r="S337" s="44">
        <v>0.5</v>
      </c>
      <c r="T337" s="45">
        <v>-136.4</v>
      </c>
      <c r="U337" s="42">
        <v>-1.6</v>
      </c>
      <c r="V337" s="46">
        <f t="shared" si="15"/>
        <v>-1.3640000000000001</v>
      </c>
      <c r="W337" s="42">
        <f t="shared" si="15"/>
        <v>-1.6E-2</v>
      </c>
    </row>
    <row r="338" spans="1:23" x14ac:dyDescent="0.2">
      <c r="A338">
        <v>210</v>
      </c>
      <c r="B338" s="43">
        <v>43775</v>
      </c>
      <c r="C338" s="44">
        <v>0.5</v>
      </c>
      <c r="D338">
        <v>-1.4830000000000001</v>
      </c>
      <c r="E338" s="42">
        <v>-1.9157031900000021</v>
      </c>
      <c r="F338" s="42">
        <f t="shared" si="16"/>
        <v>-1.4830000000000001E-2</v>
      </c>
      <c r="G338" s="42">
        <f t="shared" si="16"/>
        <v>-1.915703190000002E-2</v>
      </c>
      <c r="I338">
        <v>213</v>
      </c>
      <c r="J338" s="43">
        <v>43763</v>
      </c>
      <c r="K338" s="44">
        <v>0.5</v>
      </c>
      <c r="L338" s="47">
        <v>16.149999999999999</v>
      </c>
      <c r="M338" s="42">
        <v>-1.8535070250000001</v>
      </c>
      <c r="N338" s="42">
        <f t="shared" si="17"/>
        <v>0.16149999999999998</v>
      </c>
      <c r="O338" s="42">
        <f t="shared" si="17"/>
        <v>-1.8535070250000001E-2</v>
      </c>
      <c r="Q338">
        <v>233</v>
      </c>
      <c r="R338" s="43">
        <v>43777</v>
      </c>
      <c r="S338" s="44">
        <v>0.5</v>
      </c>
      <c r="T338" s="45">
        <v>-127.3</v>
      </c>
      <c r="U338" s="42">
        <v>-1.55</v>
      </c>
      <c r="V338" s="46">
        <f t="shared" si="15"/>
        <v>-1.2729999999999999</v>
      </c>
      <c r="W338" s="42">
        <f t="shared" si="15"/>
        <v>-1.55E-2</v>
      </c>
    </row>
    <row r="339" spans="1:23" x14ac:dyDescent="0.2">
      <c r="A339">
        <v>211</v>
      </c>
      <c r="B339" s="43">
        <v>43776</v>
      </c>
      <c r="C339" s="44">
        <v>0.5</v>
      </c>
      <c r="D339">
        <v>-2.1829999999999998</v>
      </c>
      <c r="E339" s="42">
        <v>-1.9657031900000028</v>
      </c>
      <c r="F339" s="42">
        <f t="shared" si="16"/>
        <v>-2.1829999999999999E-2</v>
      </c>
      <c r="G339" s="42">
        <f t="shared" si="16"/>
        <v>-1.9657031900000028E-2</v>
      </c>
      <c r="I339">
        <v>214</v>
      </c>
      <c r="J339" s="43">
        <v>43764</v>
      </c>
      <c r="K339" s="44">
        <v>0.5</v>
      </c>
      <c r="L339" s="47">
        <v>13.175000000000001</v>
      </c>
      <c r="M339" s="42">
        <v>-1.878390775</v>
      </c>
      <c r="N339" s="42">
        <f t="shared" si="17"/>
        <v>0.13175000000000001</v>
      </c>
      <c r="O339" s="42">
        <f t="shared" si="17"/>
        <v>-1.8783907749999999E-2</v>
      </c>
      <c r="Q339">
        <v>234</v>
      </c>
      <c r="R339" s="43">
        <v>43778</v>
      </c>
      <c r="S339" s="44">
        <v>0.5</v>
      </c>
      <c r="T339" s="45">
        <v>-129.29999999999998</v>
      </c>
      <c r="U339" s="42">
        <v>-1.45</v>
      </c>
      <c r="V339" s="46">
        <f t="shared" si="15"/>
        <v>-1.2929999999999999</v>
      </c>
      <c r="W339" s="42">
        <f t="shared" si="15"/>
        <v>-1.4499999999999999E-2</v>
      </c>
    </row>
    <row r="340" spans="1:23" x14ac:dyDescent="0.2">
      <c r="A340">
        <v>212</v>
      </c>
      <c r="B340" s="43">
        <v>43777</v>
      </c>
      <c r="C340" s="44">
        <v>0.5</v>
      </c>
      <c r="D340">
        <v>-0.78300000000000003</v>
      </c>
      <c r="E340" s="42">
        <v>-2.0657031900000042</v>
      </c>
      <c r="F340" s="42">
        <f t="shared" si="16"/>
        <v>-7.8300000000000002E-3</v>
      </c>
      <c r="G340" s="42">
        <f t="shared" si="16"/>
        <v>-2.0657031900000043E-2</v>
      </c>
      <c r="I340">
        <v>215</v>
      </c>
      <c r="J340" s="43">
        <v>43765</v>
      </c>
      <c r="K340" s="44">
        <v>0.5</v>
      </c>
      <c r="L340" s="47">
        <v>19.533000000000001</v>
      </c>
      <c r="M340" s="42">
        <v>-1.8535070250000001</v>
      </c>
      <c r="N340" s="42">
        <f t="shared" si="17"/>
        <v>0.19533</v>
      </c>
      <c r="O340" s="42">
        <f t="shared" si="17"/>
        <v>-1.8535070250000001E-2</v>
      </c>
      <c r="Q340">
        <v>235</v>
      </c>
      <c r="R340" s="43">
        <v>43779</v>
      </c>
      <c r="S340" s="44">
        <v>0.5</v>
      </c>
      <c r="T340" s="45">
        <v>-130.29999999999998</v>
      </c>
      <c r="U340" s="42">
        <v>-1.45</v>
      </c>
      <c r="V340" s="46">
        <f t="shared" si="15"/>
        <v>-1.3029999999999999</v>
      </c>
      <c r="W340" s="42">
        <f t="shared" si="15"/>
        <v>-1.4499999999999999E-2</v>
      </c>
    </row>
    <row r="341" spans="1:23" x14ac:dyDescent="0.2">
      <c r="A341">
        <v>213</v>
      </c>
      <c r="B341" s="43">
        <v>43778</v>
      </c>
      <c r="C341" s="44">
        <v>0.5</v>
      </c>
      <c r="D341">
        <v>-0.60799999999999998</v>
      </c>
      <c r="E341" s="42">
        <v>-2.0657031900000042</v>
      </c>
      <c r="F341" s="42">
        <f t="shared" si="16"/>
        <v>-6.0799999999999995E-3</v>
      </c>
      <c r="G341" s="42">
        <f t="shared" si="16"/>
        <v>-2.0657031900000043E-2</v>
      </c>
      <c r="I341">
        <v>216</v>
      </c>
      <c r="J341" s="43">
        <v>43766</v>
      </c>
      <c r="K341" s="44">
        <v>0.5</v>
      </c>
      <c r="L341" s="47">
        <v>19.942</v>
      </c>
      <c r="M341" s="42">
        <v>-1.703507025</v>
      </c>
      <c r="N341" s="42">
        <f t="shared" si="17"/>
        <v>0.19942000000000001</v>
      </c>
      <c r="O341" s="42">
        <f t="shared" si="17"/>
        <v>-1.7035070249999999E-2</v>
      </c>
      <c r="Q341">
        <v>236</v>
      </c>
      <c r="R341" s="43">
        <v>43780</v>
      </c>
      <c r="S341" s="44">
        <v>0.5</v>
      </c>
      <c r="T341" s="45">
        <v>-128.4</v>
      </c>
      <c r="U341" s="42">
        <v>-1.45</v>
      </c>
      <c r="V341" s="46">
        <f t="shared" si="15"/>
        <v>-1.284</v>
      </c>
      <c r="W341" s="42">
        <f t="shared" si="15"/>
        <v>-1.4499999999999999E-2</v>
      </c>
    </row>
    <row r="342" spans="1:23" x14ac:dyDescent="0.2">
      <c r="A342">
        <v>214</v>
      </c>
      <c r="B342" s="43">
        <v>43779</v>
      </c>
      <c r="C342" s="44">
        <v>0.5</v>
      </c>
      <c r="D342">
        <v>-0.84199999999999997</v>
      </c>
      <c r="E342" s="42">
        <v>-2.0157031900000035</v>
      </c>
      <c r="F342" s="42">
        <f t="shared" si="16"/>
        <v>-8.4200000000000004E-3</v>
      </c>
      <c r="G342" s="42">
        <f t="shared" si="16"/>
        <v>-2.0157031900000035E-2</v>
      </c>
      <c r="I342">
        <v>217</v>
      </c>
      <c r="J342" s="43">
        <v>43767</v>
      </c>
      <c r="K342" s="44">
        <v>0.5</v>
      </c>
      <c r="L342" s="47">
        <v>18.192</v>
      </c>
      <c r="M342" s="42">
        <v>-1.6535070249999999</v>
      </c>
      <c r="N342" s="42">
        <f t="shared" si="17"/>
        <v>0.18192</v>
      </c>
      <c r="O342" s="42">
        <f t="shared" si="17"/>
        <v>-1.6535070249999999E-2</v>
      </c>
      <c r="Q342">
        <v>237</v>
      </c>
      <c r="R342" s="43">
        <v>43781</v>
      </c>
      <c r="S342" s="44">
        <v>0.5</v>
      </c>
      <c r="T342" s="45">
        <v>-129</v>
      </c>
      <c r="U342" s="42">
        <v>-1.4</v>
      </c>
      <c r="V342" s="46">
        <f t="shared" si="15"/>
        <v>-1.29</v>
      </c>
      <c r="W342" s="42">
        <f t="shared" si="15"/>
        <v>-1.3999999999999999E-2</v>
      </c>
    </row>
    <row r="343" spans="1:23" x14ac:dyDescent="0.2">
      <c r="A343">
        <v>215</v>
      </c>
      <c r="B343" s="43">
        <v>43780</v>
      </c>
      <c r="C343" s="44">
        <v>0.5</v>
      </c>
      <c r="D343">
        <v>3.3000000000000002E-2</v>
      </c>
      <c r="E343" s="42">
        <v>-2.0157031900000035</v>
      </c>
      <c r="F343" s="42">
        <f t="shared" si="16"/>
        <v>3.3E-4</v>
      </c>
      <c r="G343" s="42">
        <f t="shared" si="16"/>
        <v>-2.0157031900000035E-2</v>
      </c>
      <c r="I343">
        <v>218</v>
      </c>
      <c r="J343" s="43">
        <v>43768</v>
      </c>
      <c r="K343" s="44">
        <v>0.5</v>
      </c>
      <c r="L343" s="47">
        <v>14.108000000000001</v>
      </c>
      <c r="M343" s="42">
        <v>-1.703507025</v>
      </c>
      <c r="N343" s="42">
        <f t="shared" si="17"/>
        <v>0.14108000000000001</v>
      </c>
      <c r="O343" s="42">
        <f t="shared" si="17"/>
        <v>-1.7035070249999999E-2</v>
      </c>
      <c r="Q343">
        <v>238</v>
      </c>
      <c r="R343" s="43">
        <v>43782</v>
      </c>
      <c r="S343" s="44">
        <v>0.5</v>
      </c>
      <c r="T343" s="45">
        <v>-131.1</v>
      </c>
      <c r="U343" s="42">
        <v>-1.4</v>
      </c>
      <c r="V343" s="46">
        <f t="shared" si="15"/>
        <v>-1.3109999999999999</v>
      </c>
      <c r="W343" s="42">
        <f t="shared" si="15"/>
        <v>-1.3999999999999999E-2</v>
      </c>
    </row>
    <row r="344" spans="1:23" x14ac:dyDescent="0.2">
      <c r="A344">
        <v>216</v>
      </c>
      <c r="B344" s="43">
        <v>43781</v>
      </c>
      <c r="C344" s="44">
        <v>0.5</v>
      </c>
      <c r="D344">
        <v>-1.133</v>
      </c>
      <c r="E344" s="42">
        <v>-2.0157031900000035</v>
      </c>
      <c r="F344" s="42">
        <f t="shared" si="16"/>
        <v>-1.133E-2</v>
      </c>
      <c r="G344" s="42">
        <f t="shared" si="16"/>
        <v>-2.0157031900000035E-2</v>
      </c>
      <c r="I344">
        <v>219</v>
      </c>
      <c r="J344" s="43">
        <v>43769</v>
      </c>
      <c r="K344" s="44">
        <v>0.5</v>
      </c>
      <c r="L344" s="47">
        <v>12.532999999999999</v>
      </c>
      <c r="M344" s="42">
        <v>-1.803507025</v>
      </c>
      <c r="N344" s="42">
        <f t="shared" si="17"/>
        <v>0.12533</v>
      </c>
      <c r="O344" s="42">
        <f t="shared" si="17"/>
        <v>-1.803507025E-2</v>
      </c>
      <c r="Q344">
        <v>239</v>
      </c>
      <c r="R344" s="43">
        <v>43783</v>
      </c>
      <c r="S344" s="44">
        <v>0.5</v>
      </c>
      <c r="T344" s="45">
        <v>-132.20000000000002</v>
      </c>
      <c r="U344" s="42">
        <v>-1.45</v>
      </c>
      <c r="V344" s="46">
        <f t="shared" si="15"/>
        <v>-1.3220000000000001</v>
      </c>
      <c r="W344" s="42">
        <f t="shared" si="15"/>
        <v>-1.4499999999999999E-2</v>
      </c>
    </row>
    <row r="345" spans="1:23" x14ac:dyDescent="0.2">
      <c r="A345">
        <v>217</v>
      </c>
      <c r="B345" s="43">
        <v>43782</v>
      </c>
      <c r="C345" s="44">
        <v>0.5</v>
      </c>
      <c r="D345">
        <v>-1.3080000000000001</v>
      </c>
      <c r="E345" s="42">
        <v>-1.9657031900000028</v>
      </c>
      <c r="F345" s="42">
        <f t="shared" si="16"/>
        <v>-1.3080000000000001E-2</v>
      </c>
      <c r="G345" s="42">
        <f t="shared" si="16"/>
        <v>-1.9657031900000028E-2</v>
      </c>
      <c r="I345">
        <v>220</v>
      </c>
      <c r="J345" s="43">
        <v>43770</v>
      </c>
      <c r="K345" s="44">
        <v>0.5</v>
      </c>
      <c r="L345" s="47">
        <v>12.475</v>
      </c>
      <c r="M345" s="42">
        <v>-1.803507025</v>
      </c>
      <c r="N345" s="42">
        <f t="shared" si="17"/>
        <v>0.12475</v>
      </c>
      <c r="O345" s="42">
        <f t="shared" si="17"/>
        <v>-1.803507025E-2</v>
      </c>
      <c r="Q345">
        <v>240</v>
      </c>
      <c r="R345" s="43">
        <v>43784</v>
      </c>
      <c r="S345" s="44">
        <v>0.5</v>
      </c>
      <c r="T345" s="45">
        <v>-111.80000000000001</v>
      </c>
      <c r="U345" s="42">
        <v>-1.35</v>
      </c>
      <c r="V345" s="46">
        <f t="shared" si="15"/>
        <v>-1.1180000000000001</v>
      </c>
      <c r="W345" s="42">
        <f t="shared" si="15"/>
        <v>-1.3500000000000002E-2</v>
      </c>
    </row>
    <row r="346" spans="1:23" x14ac:dyDescent="0.2">
      <c r="A346">
        <v>218</v>
      </c>
      <c r="B346" s="43">
        <v>43783</v>
      </c>
      <c r="C346" s="44">
        <v>0.5</v>
      </c>
      <c r="D346">
        <v>6.5670000000000002</v>
      </c>
      <c r="E346" s="42">
        <v>-1.9657031900000028</v>
      </c>
      <c r="F346" s="42">
        <f t="shared" si="16"/>
        <v>6.5670000000000006E-2</v>
      </c>
      <c r="G346" s="42">
        <f t="shared" si="16"/>
        <v>-1.9657031900000028E-2</v>
      </c>
      <c r="I346">
        <v>221</v>
      </c>
      <c r="J346" s="43">
        <v>43771</v>
      </c>
      <c r="K346" s="44">
        <v>0.5</v>
      </c>
      <c r="L346" s="47">
        <v>12.475</v>
      </c>
      <c r="M346" s="42">
        <v>-1.9035070249999999</v>
      </c>
      <c r="N346" s="42">
        <f t="shared" si="17"/>
        <v>0.12475</v>
      </c>
      <c r="O346" s="42">
        <f t="shared" si="17"/>
        <v>-1.9035070249999998E-2</v>
      </c>
      <c r="Q346">
        <v>241</v>
      </c>
      <c r="R346" s="43">
        <v>43785</v>
      </c>
      <c r="S346" s="44">
        <v>0.5</v>
      </c>
      <c r="T346" s="45">
        <v>-114.19999999999999</v>
      </c>
      <c r="U346" s="42">
        <v>-1</v>
      </c>
      <c r="V346" s="46">
        <f t="shared" si="15"/>
        <v>-1.1419999999999999</v>
      </c>
      <c r="W346" s="42">
        <f t="shared" si="15"/>
        <v>-0.01</v>
      </c>
    </row>
    <row r="347" spans="1:23" x14ac:dyDescent="0.2">
      <c r="A347">
        <v>219</v>
      </c>
      <c r="B347" s="43">
        <v>43784</v>
      </c>
      <c r="C347" s="44">
        <v>0.5</v>
      </c>
      <c r="D347">
        <v>19.399999999999999</v>
      </c>
      <c r="E347" s="42">
        <v>-1.9157031900000021</v>
      </c>
      <c r="F347" s="42">
        <f t="shared" si="16"/>
        <v>0.19399999999999998</v>
      </c>
      <c r="G347" s="42">
        <f t="shared" si="16"/>
        <v>-1.915703190000002E-2</v>
      </c>
      <c r="I347">
        <v>222</v>
      </c>
      <c r="J347" s="43">
        <v>43772</v>
      </c>
      <c r="K347" s="44">
        <v>0.5</v>
      </c>
      <c r="L347" s="47">
        <v>11.483000000000001</v>
      </c>
      <c r="M347" s="42">
        <v>-1.8535070250000001</v>
      </c>
      <c r="N347" s="42">
        <f t="shared" si="17"/>
        <v>0.11483</v>
      </c>
      <c r="O347" s="42">
        <f t="shared" si="17"/>
        <v>-1.8535070250000001E-2</v>
      </c>
      <c r="Q347">
        <v>242</v>
      </c>
      <c r="R347" s="43">
        <v>43786</v>
      </c>
      <c r="S347" s="44">
        <v>0.5</v>
      </c>
      <c r="T347" s="45">
        <v>-114.99999999999999</v>
      </c>
      <c r="U347" s="42">
        <v>-1</v>
      </c>
      <c r="V347" s="46">
        <f t="shared" si="15"/>
        <v>-1.1499999999999999</v>
      </c>
      <c r="W347" s="42">
        <f t="shared" si="15"/>
        <v>-0.01</v>
      </c>
    </row>
    <row r="348" spans="1:23" x14ac:dyDescent="0.2">
      <c r="A348">
        <v>220</v>
      </c>
      <c r="B348" s="43">
        <v>43785</v>
      </c>
      <c r="C348" s="44">
        <v>0.5</v>
      </c>
      <c r="D348">
        <v>21.266999999999999</v>
      </c>
      <c r="E348" s="42">
        <v>-1.9157031900000021</v>
      </c>
      <c r="F348" s="42">
        <f t="shared" si="16"/>
        <v>0.21267</v>
      </c>
      <c r="G348" s="42">
        <f t="shared" si="16"/>
        <v>-1.915703190000002E-2</v>
      </c>
      <c r="I348">
        <v>223</v>
      </c>
      <c r="J348" s="43">
        <v>43773</v>
      </c>
      <c r="K348" s="44">
        <v>0.5</v>
      </c>
      <c r="L348" s="47">
        <v>10.257999999999999</v>
      </c>
      <c r="M348" s="42">
        <v>-1.8535070250000001</v>
      </c>
      <c r="N348" s="42">
        <f t="shared" si="17"/>
        <v>0.10257999999999999</v>
      </c>
      <c r="O348" s="42">
        <f t="shared" si="17"/>
        <v>-1.8535070250000001E-2</v>
      </c>
      <c r="Q348">
        <v>243</v>
      </c>
      <c r="R348" s="43">
        <v>43787</v>
      </c>
      <c r="S348" s="44">
        <v>0.5</v>
      </c>
      <c r="T348" s="45">
        <v>-115.8</v>
      </c>
      <c r="U348" s="42">
        <v>-1</v>
      </c>
      <c r="V348" s="46">
        <f t="shared" si="15"/>
        <v>-1.1579999999999999</v>
      </c>
      <c r="W348" s="42">
        <f t="shared" si="15"/>
        <v>-0.01</v>
      </c>
    </row>
    <row r="349" spans="1:23" x14ac:dyDescent="0.2">
      <c r="A349">
        <v>221</v>
      </c>
      <c r="B349" s="43">
        <v>43786</v>
      </c>
      <c r="C349" s="44">
        <v>0.5</v>
      </c>
      <c r="D349">
        <v>18.350000000000001</v>
      </c>
      <c r="E349" s="42">
        <v>-1.6657031900000021</v>
      </c>
      <c r="F349" s="42">
        <f t="shared" si="16"/>
        <v>0.18350000000000002</v>
      </c>
      <c r="G349" s="42">
        <f t="shared" si="16"/>
        <v>-1.6657031900000022E-2</v>
      </c>
      <c r="I349">
        <v>224</v>
      </c>
      <c r="J349" s="43">
        <v>43774</v>
      </c>
      <c r="K349" s="44">
        <v>0.5</v>
      </c>
      <c r="L349" s="47">
        <v>11.6</v>
      </c>
      <c r="M349" s="42">
        <v>-1.9035070249999999</v>
      </c>
      <c r="N349" s="42">
        <f t="shared" si="17"/>
        <v>0.11599999999999999</v>
      </c>
      <c r="O349" s="42">
        <f t="shared" si="17"/>
        <v>-1.9035070249999998E-2</v>
      </c>
      <c r="Q349">
        <v>244</v>
      </c>
      <c r="R349" s="43">
        <v>43788</v>
      </c>
      <c r="S349" s="44">
        <v>0.5</v>
      </c>
      <c r="T349" s="45">
        <v>-117.7</v>
      </c>
      <c r="U349" s="42">
        <v>-1</v>
      </c>
      <c r="V349" s="46">
        <f t="shared" si="15"/>
        <v>-1.177</v>
      </c>
      <c r="W349" s="42">
        <f t="shared" si="15"/>
        <v>-0.01</v>
      </c>
    </row>
    <row r="350" spans="1:23" x14ac:dyDescent="0.2">
      <c r="A350">
        <v>222</v>
      </c>
      <c r="B350" s="43">
        <v>43787</v>
      </c>
      <c r="C350" s="44">
        <v>0.5</v>
      </c>
      <c r="D350">
        <v>19.457999999999998</v>
      </c>
      <c r="E350" s="42">
        <v>-1.6657031900000021</v>
      </c>
      <c r="F350" s="42">
        <f t="shared" si="16"/>
        <v>0.19457999999999998</v>
      </c>
      <c r="G350" s="42">
        <f t="shared" si="16"/>
        <v>-1.6657031900000022E-2</v>
      </c>
      <c r="I350">
        <v>225</v>
      </c>
      <c r="J350" s="43">
        <v>43775</v>
      </c>
      <c r="K350" s="44">
        <v>0.5</v>
      </c>
      <c r="L350" s="47">
        <v>10.842000000000001</v>
      </c>
      <c r="M350" s="42">
        <v>-1.9035070249999999</v>
      </c>
      <c r="N350" s="42">
        <f t="shared" si="17"/>
        <v>0.10842</v>
      </c>
      <c r="O350" s="42">
        <f t="shared" si="17"/>
        <v>-1.9035070249999998E-2</v>
      </c>
      <c r="Q350">
        <v>245</v>
      </c>
      <c r="R350" s="43">
        <v>43789</v>
      </c>
      <c r="S350" s="44">
        <v>0.5</v>
      </c>
      <c r="T350" s="45">
        <v>-118.7</v>
      </c>
      <c r="U350" s="42">
        <v>-1.05</v>
      </c>
      <c r="V350" s="46">
        <f t="shared" si="15"/>
        <v>-1.1870000000000001</v>
      </c>
      <c r="W350" s="42">
        <f t="shared" si="15"/>
        <v>-1.0500000000000001E-2</v>
      </c>
    </row>
    <row r="351" spans="1:23" x14ac:dyDescent="0.2">
      <c r="A351">
        <v>223</v>
      </c>
      <c r="B351" s="43">
        <v>43788</v>
      </c>
      <c r="C351" s="44">
        <v>0.5</v>
      </c>
      <c r="D351">
        <v>18.408000000000001</v>
      </c>
      <c r="E351" s="42">
        <v>-1.6657031900000021</v>
      </c>
      <c r="F351" s="42">
        <f t="shared" si="16"/>
        <v>0.18408000000000002</v>
      </c>
      <c r="G351" s="42">
        <f t="shared" si="16"/>
        <v>-1.6657031900000022E-2</v>
      </c>
      <c r="I351">
        <v>226</v>
      </c>
      <c r="J351" s="43">
        <v>43776</v>
      </c>
      <c r="K351" s="44">
        <v>0.5</v>
      </c>
      <c r="L351" s="47">
        <v>12.824999999999999</v>
      </c>
      <c r="M351" s="42">
        <v>-1.9035070249999999</v>
      </c>
      <c r="N351" s="42">
        <f t="shared" si="17"/>
        <v>0.12825</v>
      </c>
      <c r="O351" s="42">
        <f t="shared" si="17"/>
        <v>-1.9035070249999998E-2</v>
      </c>
      <c r="Q351">
        <v>246</v>
      </c>
      <c r="R351" s="43">
        <v>43790</v>
      </c>
      <c r="S351" s="44">
        <v>0.5</v>
      </c>
      <c r="T351" s="45">
        <v>-120.30000000000001</v>
      </c>
      <c r="U351" s="42">
        <v>-1.05</v>
      </c>
      <c r="V351" s="46">
        <f t="shared" si="15"/>
        <v>-1.2030000000000001</v>
      </c>
      <c r="W351" s="42">
        <f t="shared" si="15"/>
        <v>-1.0500000000000001E-2</v>
      </c>
    </row>
    <row r="352" spans="1:23" x14ac:dyDescent="0.2">
      <c r="A352">
        <v>224</v>
      </c>
      <c r="B352" s="43">
        <v>43789</v>
      </c>
      <c r="C352" s="44">
        <v>0.5</v>
      </c>
      <c r="D352">
        <v>17.007999999999999</v>
      </c>
      <c r="E352" s="42">
        <v>-1.6657031900000021</v>
      </c>
      <c r="F352" s="42">
        <f t="shared" si="16"/>
        <v>0.17007999999999998</v>
      </c>
      <c r="G352" s="42">
        <f t="shared" si="16"/>
        <v>-1.6657031900000022E-2</v>
      </c>
      <c r="I352">
        <v>227</v>
      </c>
      <c r="J352" s="43">
        <v>43777</v>
      </c>
      <c r="K352" s="44">
        <v>0.5</v>
      </c>
      <c r="L352" s="47">
        <v>12.417</v>
      </c>
      <c r="M352" s="42">
        <v>-1.9035070249999999</v>
      </c>
      <c r="N352" s="42">
        <f t="shared" si="17"/>
        <v>0.12417</v>
      </c>
      <c r="O352" s="42">
        <f t="shared" si="17"/>
        <v>-1.9035070249999998E-2</v>
      </c>
      <c r="Q352">
        <v>247</v>
      </c>
      <c r="R352" s="43">
        <v>43791</v>
      </c>
      <c r="S352" s="44">
        <v>0.5</v>
      </c>
      <c r="T352" s="45">
        <v>-116.5</v>
      </c>
      <c r="U352" s="42">
        <v>-1.05</v>
      </c>
      <c r="V352" s="46">
        <f t="shared" si="15"/>
        <v>-1.165</v>
      </c>
      <c r="W352" s="42">
        <f t="shared" si="15"/>
        <v>-1.0500000000000001E-2</v>
      </c>
    </row>
    <row r="353" spans="1:23" x14ac:dyDescent="0.2">
      <c r="A353">
        <v>225</v>
      </c>
      <c r="B353" s="43">
        <v>43790</v>
      </c>
      <c r="C353" s="44">
        <v>0.5</v>
      </c>
      <c r="D353">
        <v>14.617000000000001</v>
      </c>
      <c r="E353" s="42">
        <v>-1.6657031900000021</v>
      </c>
      <c r="F353" s="42">
        <f t="shared" si="16"/>
        <v>0.14617000000000002</v>
      </c>
      <c r="G353" s="42">
        <f t="shared" si="16"/>
        <v>-1.6657031900000022E-2</v>
      </c>
      <c r="I353">
        <v>228</v>
      </c>
      <c r="J353" s="43">
        <v>43778</v>
      </c>
      <c r="K353" s="44">
        <v>0.5</v>
      </c>
      <c r="L353" s="47">
        <v>12.183</v>
      </c>
      <c r="M353" s="42">
        <v>-1.8535070250000001</v>
      </c>
      <c r="N353" s="42">
        <f t="shared" si="17"/>
        <v>0.12182999999999999</v>
      </c>
      <c r="O353" s="42">
        <f t="shared" si="17"/>
        <v>-1.8535070250000001E-2</v>
      </c>
      <c r="Q353">
        <v>248</v>
      </c>
      <c r="R353" s="43">
        <v>43792</v>
      </c>
      <c r="S353" s="44">
        <v>0.5</v>
      </c>
      <c r="T353" s="45">
        <v>-115.7</v>
      </c>
      <c r="U353" s="42">
        <v>-1</v>
      </c>
      <c r="V353" s="46">
        <f t="shared" si="15"/>
        <v>-1.157</v>
      </c>
      <c r="W353" s="42">
        <f t="shared" si="15"/>
        <v>-0.01</v>
      </c>
    </row>
    <row r="354" spans="1:23" x14ac:dyDescent="0.2">
      <c r="A354">
        <v>226</v>
      </c>
      <c r="B354" s="43">
        <v>43791</v>
      </c>
      <c r="C354" s="44">
        <v>0.5</v>
      </c>
      <c r="D354">
        <v>14.733000000000001</v>
      </c>
      <c r="E354" s="42">
        <v>-1.6657031900000021</v>
      </c>
      <c r="F354" s="42">
        <f t="shared" si="16"/>
        <v>0.14733000000000002</v>
      </c>
      <c r="G354" s="42">
        <f t="shared" si="16"/>
        <v>-1.6657031900000022E-2</v>
      </c>
      <c r="I354">
        <v>229</v>
      </c>
      <c r="J354" s="43">
        <v>43779</v>
      </c>
      <c r="K354" s="44">
        <v>0.5</v>
      </c>
      <c r="L354" s="47">
        <v>11.308</v>
      </c>
      <c r="M354" s="42">
        <v>-1.9035070249999999</v>
      </c>
      <c r="N354" s="42">
        <f t="shared" si="17"/>
        <v>0.11308</v>
      </c>
      <c r="O354" s="42">
        <f t="shared" si="17"/>
        <v>-1.9035070249999998E-2</v>
      </c>
      <c r="Q354">
        <v>249</v>
      </c>
      <c r="R354" s="43">
        <v>43793</v>
      </c>
      <c r="S354" s="44">
        <v>0.5</v>
      </c>
      <c r="T354" s="45">
        <v>-116.8</v>
      </c>
      <c r="U354" s="42">
        <v>-1</v>
      </c>
      <c r="V354" s="46">
        <f t="shared" si="15"/>
        <v>-1.1679999999999999</v>
      </c>
      <c r="W354" s="42">
        <f t="shared" si="15"/>
        <v>-0.01</v>
      </c>
    </row>
    <row r="355" spans="1:23" x14ac:dyDescent="0.2">
      <c r="A355">
        <v>227</v>
      </c>
      <c r="B355" s="43">
        <v>43792</v>
      </c>
      <c r="C355" s="44">
        <v>0.5</v>
      </c>
      <c r="D355">
        <v>14.442</v>
      </c>
      <c r="E355" s="42">
        <v>-1.615703190000005</v>
      </c>
      <c r="F355" s="42">
        <f t="shared" si="16"/>
        <v>0.14441999999999999</v>
      </c>
      <c r="G355" s="42">
        <f t="shared" si="16"/>
        <v>-1.6157031900000049E-2</v>
      </c>
      <c r="I355">
        <v>230</v>
      </c>
      <c r="J355" s="43">
        <v>43780</v>
      </c>
      <c r="K355" s="44">
        <v>0.5</v>
      </c>
      <c r="L355" s="47">
        <v>12.183</v>
      </c>
      <c r="M355" s="42">
        <v>-1.9035070249999999</v>
      </c>
      <c r="N355" s="42">
        <f t="shared" si="17"/>
        <v>0.12182999999999999</v>
      </c>
      <c r="O355" s="42">
        <f t="shared" si="17"/>
        <v>-1.9035070249999998E-2</v>
      </c>
      <c r="Q355">
        <v>250</v>
      </c>
      <c r="R355" s="43">
        <v>43794</v>
      </c>
      <c r="S355" s="44">
        <v>0.5</v>
      </c>
      <c r="T355" s="45">
        <v>-108.3</v>
      </c>
      <c r="U355" s="42">
        <v>-1</v>
      </c>
      <c r="V355" s="46">
        <f t="shared" si="15"/>
        <v>-1.083</v>
      </c>
      <c r="W355" s="42">
        <f t="shared" si="15"/>
        <v>-0.01</v>
      </c>
    </row>
    <row r="356" spans="1:23" x14ac:dyDescent="0.2">
      <c r="A356">
        <v>228</v>
      </c>
      <c r="B356" s="43">
        <v>43793</v>
      </c>
      <c r="C356" s="44">
        <v>0.5</v>
      </c>
      <c r="D356">
        <v>12.632999999999999</v>
      </c>
      <c r="E356" s="42">
        <v>-1.615703190000005</v>
      </c>
      <c r="F356" s="42">
        <f t="shared" si="16"/>
        <v>0.12633</v>
      </c>
      <c r="G356" s="42">
        <f t="shared" si="16"/>
        <v>-1.6157031900000049E-2</v>
      </c>
      <c r="I356">
        <v>231</v>
      </c>
      <c r="J356" s="43">
        <v>43781</v>
      </c>
      <c r="K356" s="44">
        <v>0.5</v>
      </c>
      <c r="L356" s="47">
        <v>11.542</v>
      </c>
      <c r="M356" s="42">
        <v>-1.9035070249999999</v>
      </c>
      <c r="N356" s="42">
        <f t="shared" si="17"/>
        <v>0.11541999999999999</v>
      </c>
      <c r="O356" s="42">
        <f t="shared" si="17"/>
        <v>-1.9035070249999998E-2</v>
      </c>
      <c r="Q356">
        <v>251</v>
      </c>
      <c r="R356" s="43">
        <v>43795</v>
      </c>
      <c r="S356" s="44">
        <v>0.5</v>
      </c>
      <c r="T356" s="45">
        <v>-110.1</v>
      </c>
      <c r="U356" s="42">
        <v>-0.8</v>
      </c>
      <c r="V356" s="46">
        <f t="shared" si="15"/>
        <v>-1.101</v>
      </c>
      <c r="W356" s="42">
        <f t="shared" si="15"/>
        <v>-8.0000000000000002E-3</v>
      </c>
    </row>
    <row r="357" spans="1:23" x14ac:dyDescent="0.2">
      <c r="A357">
        <v>229</v>
      </c>
      <c r="B357" s="43">
        <v>43794</v>
      </c>
      <c r="C357" s="44">
        <v>0.5</v>
      </c>
      <c r="D357">
        <v>11.7</v>
      </c>
      <c r="E357" s="42">
        <v>-1.5657031900000007</v>
      </c>
      <c r="F357" s="42">
        <f t="shared" si="16"/>
        <v>0.11699999999999999</v>
      </c>
      <c r="G357" s="42">
        <f t="shared" si="16"/>
        <v>-1.5657031900000007E-2</v>
      </c>
      <c r="I357">
        <v>232</v>
      </c>
      <c r="J357" s="43">
        <v>43782</v>
      </c>
      <c r="K357" s="44">
        <v>0.5</v>
      </c>
      <c r="L357" s="47">
        <v>10.667</v>
      </c>
      <c r="M357" s="42">
        <v>-1.9035070249999999</v>
      </c>
      <c r="N357" s="42">
        <f t="shared" si="17"/>
        <v>0.10667</v>
      </c>
      <c r="O357" s="42">
        <f t="shared" si="17"/>
        <v>-1.9035070249999998E-2</v>
      </c>
      <c r="Q357">
        <v>252</v>
      </c>
      <c r="R357" s="43">
        <v>43796</v>
      </c>
      <c r="S357" s="44">
        <v>0.5</v>
      </c>
      <c r="T357" s="45">
        <v>-90.5</v>
      </c>
      <c r="U357" s="42">
        <v>-0.85</v>
      </c>
      <c r="V357" s="46">
        <f t="shared" si="15"/>
        <v>-0.90500000000000003</v>
      </c>
      <c r="W357" s="42">
        <f t="shared" si="15"/>
        <v>-8.5000000000000006E-3</v>
      </c>
    </row>
    <row r="358" spans="1:23" x14ac:dyDescent="0.2">
      <c r="A358">
        <v>230</v>
      </c>
      <c r="B358" s="43">
        <v>43795</v>
      </c>
      <c r="C358" s="44">
        <v>0.5</v>
      </c>
      <c r="D358">
        <v>10.942</v>
      </c>
      <c r="E358" s="42">
        <v>-1.6657031900000021</v>
      </c>
      <c r="F358" s="42">
        <f t="shared" si="16"/>
        <v>0.10942</v>
      </c>
      <c r="G358" s="42">
        <f t="shared" si="16"/>
        <v>-1.6657031900000022E-2</v>
      </c>
      <c r="I358">
        <v>233</v>
      </c>
      <c r="J358" s="43">
        <v>43783</v>
      </c>
      <c r="K358" s="44">
        <v>0.5</v>
      </c>
      <c r="L358" s="47">
        <v>15.275</v>
      </c>
      <c r="M358" s="42">
        <v>-2.053507025</v>
      </c>
      <c r="N358" s="42">
        <f t="shared" si="17"/>
        <v>0.15275</v>
      </c>
      <c r="O358" s="42">
        <f t="shared" si="17"/>
        <v>-2.0535070249999999E-2</v>
      </c>
      <c r="Q358">
        <v>253</v>
      </c>
      <c r="R358" s="43">
        <v>43797</v>
      </c>
      <c r="S358" s="44">
        <v>0.5</v>
      </c>
      <c r="T358" s="45">
        <v>-94</v>
      </c>
      <c r="U358" s="42">
        <v>-0.3</v>
      </c>
      <c r="V358" s="46">
        <f t="shared" si="15"/>
        <v>-0.94</v>
      </c>
      <c r="W358" s="42">
        <f t="shared" si="15"/>
        <v>-3.0000000000000001E-3</v>
      </c>
    </row>
    <row r="359" spans="1:23" x14ac:dyDescent="0.2">
      <c r="A359">
        <v>231</v>
      </c>
      <c r="B359" s="43">
        <v>43796</v>
      </c>
      <c r="C359" s="44">
        <v>0.5</v>
      </c>
      <c r="D359">
        <v>12.574999999999999</v>
      </c>
      <c r="E359" s="42">
        <v>-1.615703190000005</v>
      </c>
      <c r="F359" s="42">
        <f t="shared" si="16"/>
        <v>0.12575</v>
      </c>
      <c r="G359" s="42">
        <f t="shared" si="16"/>
        <v>-1.6157031900000049E-2</v>
      </c>
      <c r="I359">
        <v>234</v>
      </c>
      <c r="J359" s="43">
        <v>43784</v>
      </c>
      <c r="K359" s="44">
        <v>0.5</v>
      </c>
      <c r="L359" s="47">
        <v>16.733000000000001</v>
      </c>
      <c r="M359" s="42">
        <v>-1.8535070250000001</v>
      </c>
      <c r="N359" s="42">
        <f t="shared" si="17"/>
        <v>0.16733000000000001</v>
      </c>
      <c r="O359" s="42">
        <f t="shared" si="17"/>
        <v>-1.8535070250000001E-2</v>
      </c>
      <c r="Q359">
        <v>254</v>
      </c>
      <c r="R359" s="43">
        <v>43798</v>
      </c>
      <c r="S359" s="44">
        <v>0.5</v>
      </c>
      <c r="T359" s="45">
        <v>-63.5</v>
      </c>
      <c r="U359" s="42">
        <v>0.1</v>
      </c>
      <c r="V359" s="46">
        <f t="shared" si="15"/>
        <v>-0.63500000000000001</v>
      </c>
      <c r="W359" s="42">
        <f t="shared" si="15"/>
        <v>1E-3</v>
      </c>
    </row>
    <row r="360" spans="1:23" x14ac:dyDescent="0.2">
      <c r="A360">
        <v>232</v>
      </c>
      <c r="B360" s="43">
        <v>43797</v>
      </c>
      <c r="C360" s="44">
        <v>0.5</v>
      </c>
      <c r="D360">
        <v>17.242000000000001</v>
      </c>
      <c r="E360" s="42">
        <v>-1.5657031900000007</v>
      </c>
      <c r="F360" s="42">
        <f t="shared" si="16"/>
        <v>0.17242000000000002</v>
      </c>
      <c r="G360" s="42">
        <f t="shared" si="16"/>
        <v>-1.5657031900000007E-2</v>
      </c>
      <c r="I360">
        <v>235</v>
      </c>
      <c r="J360" s="43">
        <v>43785</v>
      </c>
      <c r="K360" s="44">
        <v>0.5</v>
      </c>
      <c r="L360" s="47">
        <v>17.433</v>
      </c>
      <c r="M360" s="42">
        <v>-1.803507025</v>
      </c>
      <c r="N360" s="42">
        <f t="shared" si="17"/>
        <v>0.17432999999999998</v>
      </c>
      <c r="O360" s="42">
        <f t="shared" si="17"/>
        <v>-1.803507025E-2</v>
      </c>
      <c r="Q360">
        <v>255</v>
      </c>
      <c r="R360" s="43">
        <v>43799</v>
      </c>
      <c r="S360" s="44">
        <v>0.5</v>
      </c>
      <c r="T360" s="45">
        <v>-71</v>
      </c>
      <c r="U360" s="42">
        <v>0.5</v>
      </c>
      <c r="V360" s="46">
        <f t="shared" si="15"/>
        <v>-0.71</v>
      </c>
      <c r="W360" s="42">
        <f t="shared" si="15"/>
        <v>5.0000000000000001E-3</v>
      </c>
    </row>
    <row r="361" spans="1:23" x14ac:dyDescent="0.2">
      <c r="A361">
        <v>233</v>
      </c>
      <c r="B361" s="43">
        <v>43798</v>
      </c>
      <c r="C361" s="44">
        <v>0.5</v>
      </c>
      <c r="D361">
        <v>19.399999999999999</v>
      </c>
      <c r="E361" s="42">
        <v>-1.5657031900000007</v>
      </c>
      <c r="F361" s="42">
        <f t="shared" si="16"/>
        <v>0.19399999999999998</v>
      </c>
      <c r="G361" s="42">
        <f t="shared" si="16"/>
        <v>-1.5657031900000007E-2</v>
      </c>
      <c r="I361">
        <v>236</v>
      </c>
      <c r="J361" s="43">
        <v>43786</v>
      </c>
      <c r="K361" s="44">
        <v>0.5</v>
      </c>
      <c r="L361" s="47">
        <v>21.225000000000001</v>
      </c>
      <c r="M361" s="42">
        <v>-1.703507025</v>
      </c>
      <c r="N361" s="42">
        <f t="shared" si="17"/>
        <v>0.21225000000000002</v>
      </c>
      <c r="O361" s="42">
        <f t="shared" si="17"/>
        <v>-1.7035070249999999E-2</v>
      </c>
      <c r="Q361">
        <v>256</v>
      </c>
      <c r="R361" s="43">
        <v>43800</v>
      </c>
      <c r="S361" s="44">
        <v>0.5</v>
      </c>
      <c r="T361" s="45">
        <v>-59.099999999999994</v>
      </c>
      <c r="U361" s="42">
        <v>0.4</v>
      </c>
      <c r="V361" s="46">
        <f t="shared" si="15"/>
        <v>-0.59099999999999997</v>
      </c>
      <c r="W361" s="42">
        <f t="shared" si="15"/>
        <v>4.0000000000000001E-3</v>
      </c>
    </row>
    <row r="362" spans="1:23" x14ac:dyDescent="0.2">
      <c r="A362">
        <v>234</v>
      </c>
      <c r="B362" s="43">
        <v>43799</v>
      </c>
      <c r="C362" s="44">
        <v>0.5</v>
      </c>
      <c r="D362">
        <v>18.058</v>
      </c>
      <c r="E362" s="42">
        <v>-1.6657031900000021</v>
      </c>
      <c r="F362" s="42">
        <f t="shared" si="16"/>
        <v>0.18057999999999999</v>
      </c>
      <c r="G362" s="42">
        <f t="shared" si="16"/>
        <v>-1.6657031900000022E-2</v>
      </c>
      <c r="I362">
        <v>237</v>
      </c>
      <c r="J362" s="43">
        <v>43787</v>
      </c>
      <c r="K362" s="44">
        <v>0.5</v>
      </c>
      <c r="L362" s="47">
        <v>18.016999999999999</v>
      </c>
      <c r="M362" s="42">
        <v>-1.703507025</v>
      </c>
      <c r="N362" s="42">
        <f t="shared" si="17"/>
        <v>0.18017</v>
      </c>
      <c r="O362" s="42">
        <f t="shared" si="17"/>
        <v>-1.7035070249999999E-2</v>
      </c>
      <c r="Q362">
        <v>257</v>
      </c>
      <c r="R362" s="43">
        <v>43801</v>
      </c>
      <c r="S362" s="44">
        <v>0.5</v>
      </c>
      <c r="T362" s="45">
        <v>-66.900000000000006</v>
      </c>
      <c r="U362" s="42">
        <v>0.65</v>
      </c>
      <c r="V362" s="46">
        <f t="shared" si="15"/>
        <v>-0.66900000000000004</v>
      </c>
      <c r="W362" s="42">
        <f t="shared" si="15"/>
        <v>6.5000000000000006E-3</v>
      </c>
    </row>
    <row r="363" spans="1:23" x14ac:dyDescent="0.2">
      <c r="A363">
        <v>235</v>
      </c>
      <c r="B363" s="43">
        <v>43800</v>
      </c>
      <c r="C363" s="44">
        <v>0.5</v>
      </c>
      <c r="D363">
        <v>18.524999999999999</v>
      </c>
      <c r="E363" s="42">
        <v>-1.615703190000005</v>
      </c>
      <c r="F363" s="42">
        <f t="shared" si="16"/>
        <v>0.18525</v>
      </c>
      <c r="G363" s="42">
        <f t="shared" si="16"/>
        <v>-1.6157031900000049E-2</v>
      </c>
      <c r="I363">
        <v>238</v>
      </c>
      <c r="J363" s="43">
        <v>43788</v>
      </c>
      <c r="K363" s="44">
        <v>0.5</v>
      </c>
      <c r="L363" s="47">
        <v>15.217000000000001</v>
      </c>
      <c r="M363" s="42">
        <v>-1.803507025</v>
      </c>
      <c r="N363" s="42">
        <f t="shared" si="17"/>
        <v>0.15217</v>
      </c>
      <c r="O363" s="42">
        <f t="shared" si="17"/>
        <v>-1.803507025E-2</v>
      </c>
      <c r="Q363">
        <v>258</v>
      </c>
      <c r="R363" s="43">
        <v>43802</v>
      </c>
      <c r="S363" s="44">
        <v>0.5</v>
      </c>
      <c r="T363" s="45">
        <v>-71.399999999999991</v>
      </c>
      <c r="U363" s="42">
        <v>0.6</v>
      </c>
      <c r="V363" s="46">
        <f t="shared" si="15"/>
        <v>-0.71399999999999997</v>
      </c>
      <c r="W363" s="42">
        <f t="shared" si="15"/>
        <v>6.0000000000000001E-3</v>
      </c>
    </row>
    <row r="364" spans="1:23" x14ac:dyDescent="0.2">
      <c r="A364">
        <v>236</v>
      </c>
      <c r="B364" s="43">
        <v>43801</v>
      </c>
      <c r="C364" s="44">
        <v>0.5</v>
      </c>
      <c r="D364">
        <v>21.5</v>
      </c>
      <c r="E364" s="42">
        <v>-1.5657031900000007</v>
      </c>
      <c r="F364" s="42">
        <f t="shared" si="16"/>
        <v>0.215</v>
      </c>
      <c r="G364" s="42">
        <f t="shared" si="16"/>
        <v>-1.5657031900000007E-2</v>
      </c>
      <c r="I364">
        <v>239</v>
      </c>
      <c r="J364" s="43">
        <v>43789</v>
      </c>
      <c r="K364" s="44">
        <v>0.5</v>
      </c>
      <c r="L364" s="47">
        <v>14.692</v>
      </c>
      <c r="M364" s="42">
        <v>-1.803507025</v>
      </c>
      <c r="N364" s="42">
        <f t="shared" si="17"/>
        <v>0.14692</v>
      </c>
      <c r="O364" s="42">
        <f t="shared" si="17"/>
        <v>-1.803507025E-2</v>
      </c>
      <c r="Q364">
        <v>259</v>
      </c>
      <c r="R364" s="43">
        <v>43803</v>
      </c>
      <c r="S364" s="44">
        <v>0.5</v>
      </c>
      <c r="T364" s="45">
        <v>-74.8</v>
      </c>
      <c r="U364" s="42">
        <v>0.55000000000000004</v>
      </c>
      <c r="V364" s="46">
        <f t="shared" si="15"/>
        <v>-0.748</v>
      </c>
      <c r="W364" s="42">
        <f t="shared" si="15"/>
        <v>5.5000000000000005E-3</v>
      </c>
    </row>
    <row r="365" spans="1:23" x14ac:dyDescent="0.2">
      <c r="A365">
        <v>237</v>
      </c>
      <c r="B365" s="43">
        <v>43802</v>
      </c>
      <c r="C365" s="44">
        <v>0.5</v>
      </c>
      <c r="D365">
        <v>19.574999999999999</v>
      </c>
      <c r="E365" s="42">
        <v>-1.5157031900000035</v>
      </c>
      <c r="F365" s="42">
        <f t="shared" si="16"/>
        <v>0.19574999999999998</v>
      </c>
      <c r="G365" s="42">
        <f t="shared" si="16"/>
        <v>-1.5157031900000036E-2</v>
      </c>
      <c r="I365">
        <v>240</v>
      </c>
      <c r="J365" s="43">
        <v>43790</v>
      </c>
      <c r="K365" s="44">
        <v>0.5</v>
      </c>
      <c r="L365" s="47">
        <v>13.525</v>
      </c>
      <c r="M365" s="42">
        <v>-1.803507025</v>
      </c>
      <c r="N365" s="42">
        <f t="shared" si="17"/>
        <v>0.13525000000000001</v>
      </c>
      <c r="O365" s="42">
        <f t="shared" si="17"/>
        <v>-1.803507025E-2</v>
      </c>
      <c r="Q365">
        <v>260</v>
      </c>
      <c r="R365" s="43">
        <v>43804</v>
      </c>
      <c r="S365" s="44">
        <v>0.5</v>
      </c>
      <c r="T365" s="45">
        <v>-77.7</v>
      </c>
      <c r="U365" s="42">
        <v>0.5</v>
      </c>
      <c r="V365" s="46">
        <f t="shared" si="15"/>
        <v>-0.77700000000000002</v>
      </c>
      <c r="W365" s="42">
        <f t="shared" si="15"/>
        <v>5.0000000000000001E-3</v>
      </c>
    </row>
    <row r="366" spans="1:23" x14ac:dyDescent="0.2">
      <c r="A366">
        <v>238</v>
      </c>
      <c r="B366" s="43">
        <v>43803</v>
      </c>
      <c r="C366" s="44">
        <v>0.5</v>
      </c>
      <c r="D366">
        <v>16.658000000000001</v>
      </c>
      <c r="E366" s="42">
        <v>-1.5157031900000035</v>
      </c>
      <c r="F366" s="42">
        <f t="shared" si="16"/>
        <v>0.16658000000000001</v>
      </c>
      <c r="G366" s="42">
        <f t="shared" si="16"/>
        <v>-1.5157031900000036E-2</v>
      </c>
      <c r="I366">
        <v>241</v>
      </c>
      <c r="J366" s="43">
        <v>43791</v>
      </c>
      <c r="K366" s="44">
        <v>0.5</v>
      </c>
      <c r="L366" s="47">
        <v>13.117000000000001</v>
      </c>
      <c r="M366" s="42">
        <v>-1.8535070250000001</v>
      </c>
      <c r="N366" s="42">
        <f t="shared" si="17"/>
        <v>0.13117000000000001</v>
      </c>
      <c r="O366" s="42">
        <f t="shared" si="17"/>
        <v>-1.8535070250000001E-2</v>
      </c>
      <c r="Q366">
        <v>261</v>
      </c>
      <c r="R366" s="43">
        <v>43805</v>
      </c>
      <c r="S366" s="44">
        <v>0.5</v>
      </c>
      <c r="T366" s="45">
        <v>-79.3</v>
      </c>
      <c r="U366" s="42">
        <v>0.5</v>
      </c>
      <c r="V366" s="46">
        <f t="shared" si="15"/>
        <v>-0.79299999999999993</v>
      </c>
      <c r="W366" s="42">
        <f t="shared" si="15"/>
        <v>5.0000000000000001E-3</v>
      </c>
    </row>
    <row r="367" spans="1:23" x14ac:dyDescent="0.2">
      <c r="A367">
        <v>239</v>
      </c>
      <c r="B367" s="43">
        <v>43804</v>
      </c>
      <c r="C367" s="44">
        <v>0.5</v>
      </c>
      <c r="D367">
        <v>14.382999999999999</v>
      </c>
      <c r="E367" s="42">
        <v>-1.4657031900000064</v>
      </c>
      <c r="F367" s="42">
        <f t="shared" si="16"/>
        <v>0.14382999999999999</v>
      </c>
      <c r="G367" s="42">
        <f t="shared" si="16"/>
        <v>-1.4657031900000063E-2</v>
      </c>
      <c r="I367">
        <v>242</v>
      </c>
      <c r="J367" s="43">
        <v>43792</v>
      </c>
      <c r="K367" s="44">
        <v>0.5</v>
      </c>
      <c r="L367" s="47">
        <v>14.458</v>
      </c>
      <c r="M367" s="42">
        <v>-1.8535070250000001</v>
      </c>
      <c r="N367" s="42">
        <f t="shared" si="17"/>
        <v>0.14458000000000001</v>
      </c>
      <c r="O367" s="42">
        <f t="shared" si="17"/>
        <v>-1.8535070250000001E-2</v>
      </c>
      <c r="Q367">
        <v>262</v>
      </c>
      <c r="R367" s="43">
        <v>43806</v>
      </c>
      <c r="S367" s="44">
        <v>0.5</v>
      </c>
      <c r="T367" s="45">
        <v>-81.5</v>
      </c>
      <c r="U367" s="42">
        <v>0.5</v>
      </c>
      <c r="V367" s="46">
        <f t="shared" si="15"/>
        <v>-0.81499999999999995</v>
      </c>
      <c r="W367" s="42">
        <f t="shared" si="15"/>
        <v>5.0000000000000001E-3</v>
      </c>
    </row>
    <row r="368" spans="1:23" x14ac:dyDescent="0.2">
      <c r="A368">
        <v>240</v>
      </c>
      <c r="B368" s="43">
        <v>43805</v>
      </c>
      <c r="C368" s="44">
        <v>0.5</v>
      </c>
      <c r="D368">
        <v>12.108000000000001</v>
      </c>
      <c r="E368" s="42">
        <v>-1.5157031900000035</v>
      </c>
      <c r="F368" s="42">
        <f t="shared" si="16"/>
        <v>0.12108000000000001</v>
      </c>
      <c r="G368" s="42">
        <f t="shared" si="16"/>
        <v>-1.5157031900000036E-2</v>
      </c>
      <c r="I368">
        <v>243</v>
      </c>
      <c r="J368" s="43">
        <v>43793</v>
      </c>
      <c r="K368" s="44">
        <v>0.5</v>
      </c>
      <c r="L368" s="47">
        <v>13.058</v>
      </c>
      <c r="M368" s="42">
        <v>-1.803507025</v>
      </c>
      <c r="N368" s="42">
        <f t="shared" si="17"/>
        <v>0.13058</v>
      </c>
      <c r="O368" s="42">
        <f t="shared" si="17"/>
        <v>-1.803507025E-2</v>
      </c>
      <c r="Q368">
        <v>263</v>
      </c>
      <c r="R368" s="43">
        <v>43807</v>
      </c>
      <c r="S368" s="44">
        <v>0.5</v>
      </c>
      <c r="T368" s="45">
        <v>-83</v>
      </c>
      <c r="U368" s="42">
        <v>0.45</v>
      </c>
      <c r="V368" s="46">
        <f t="shared" si="15"/>
        <v>-0.83</v>
      </c>
      <c r="W368" s="42">
        <f t="shared" si="15"/>
        <v>4.5000000000000005E-3</v>
      </c>
    </row>
    <row r="369" spans="1:23" x14ac:dyDescent="0.2">
      <c r="A369">
        <v>241</v>
      </c>
      <c r="B369" s="43">
        <v>43806</v>
      </c>
      <c r="C369" s="44">
        <v>0.5</v>
      </c>
      <c r="D369">
        <v>11.641999999999999</v>
      </c>
      <c r="E369" s="42">
        <v>-1.4657031900000064</v>
      </c>
      <c r="F369" s="42">
        <f t="shared" si="16"/>
        <v>0.11642</v>
      </c>
      <c r="G369" s="42">
        <f t="shared" si="16"/>
        <v>-1.4657031900000063E-2</v>
      </c>
      <c r="I369">
        <v>244</v>
      </c>
      <c r="J369" s="43">
        <v>43794</v>
      </c>
      <c r="K369" s="44">
        <v>0.5</v>
      </c>
      <c r="L369" s="47">
        <v>12.824999999999999</v>
      </c>
      <c r="M369" s="42">
        <v>-1.8535070250000001</v>
      </c>
      <c r="N369" s="42">
        <f t="shared" si="17"/>
        <v>0.12825</v>
      </c>
      <c r="O369" s="42">
        <f t="shared" si="17"/>
        <v>-1.8535070250000001E-2</v>
      </c>
      <c r="Q369">
        <v>264</v>
      </c>
      <c r="R369" s="43">
        <v>43808</v>
      </c>
      <c r="S369" s="44">
        <v>0.5</v>
      </c>
      <c r="T369" s="45">
        <v>-85.399999999999991</v>
      </c>
      <c r="U369" s="42">
        <v>0.4</v>
      </c>
      <c r="V369" s="46">
        <f t="shared" si="15"/>
        <v>-0.85399999999999987</v>
      </c>
      <c r="W369" s="42">
        <f t="shared" si="15"/>
        <v>4.0000000000000001E-3</v>
      </c>
    </row>
    <row r="370" spans="1:23" x14ac:dyDescent="0.2">
      <c r="A370">
        <v>242</v>
      </c>
      <c r="B370" s="43">
        <v>43807</v>
      </c>
      <c r="C370" s="44">
        <v>0.5</v>
      </c>
      <c r="D370">
        <v>12.342000000000001</v>
      </c>
      <c r="E370" s="42">
        <v>-1.5157031900000035</v>
      </c>
      <c r="F370" s="42">
        <f t="shared" si="16"/>
        <v>0.12342</v>
      </c>
      <c r="G370" s="42">
        <f t="shared" si="16"/>
        <v>-1.5157031900000036E-2</v>
      </c>
      <c r="I370">
        <v>245</v>
      </c>
      <c r="J370" s="43">
        <v>43795</v>
      </c>
      <c r="K370" s="44">
        <v>0.5</v>
      </c>
      <c r="L370" s="47">
        <v>12.067</v>
      </c>
      <c r="M370" s="42">
        <v>-1.803507025</v>
      </c>
      <c r="N370" s="42">
        <f t="shared" si="17"/>
        <v>0.12067</v>
      </c>
      <c r="O370" s="42">
        <f t="shared" si="17"/>
        <v>-1.803507025E-2</v>
      </c>
      <c r="Q370">
        <v>265</v>
      </c>
      <c r="R370" s="43">
        <v>43809</v>
      </c>
      <c r="S370" s="44">
        <v>0.5</v>
      </c>
      <c r="T370" s="45">
        <v>-87.4</v>
      </c>
      <c r="U370" s="42">
        <v>0.35</v>
      </c>
      <c r="V370" s="46">
        <f t="shared" si="15"/>
        <v>-0.87400000000000011</v>
      </c>
      <c r="W370" s="42">
        <f t="shared" si="15"/>
        <v>3.4999999999999996E-3</v>
      </c>
    </row>
    <row r="371" spans="1:23" x14ac:dyDescent="0.2">
      <c r="A371">
        <v>243</v>
      </c>
      <c r="B371" s="43">
        <v>43808</v>
      </c>
      <c r="C371" s="44">
        <v>0.5</v>
      </c>
      <c r="D371">
        <v>14.675000000000001</v>
      </c>
      <c r="E371" s="42">
        <v>-1.5157031900000035</v>
      </c>
      <c r="F371" s="42">
        <f t="shared" si="16"/>
        <v>0.14675000000000002</v>
      </c>
      <c r="G371" s="42">
        <f t="shared" si="16"/>
        <v>-1.5157031900000036E-2</v>
      </c>
      <c r="I371">
        <v>246</v>
      </c>
      <c r="J371" s="43">
        <v>43796</v>
      </c>
      <c r="K371" s="44">
        <v>0.5</v>
      </c>
      <c r="L371" s="47">
        <v>13.35</v>
      </c>
      <c r="M371" s="42">
        <v>-1.7800405619999999</v>
      </c>
      <c r="N371" s="42">
        <f t="shared" si="17"/>
        <v>0.13350000000000001</v>
      </c>
      <c r="O371" s="42">
        <f t="shared" si="17"/>
        <v>-1.7800405620000001E-2</v>
      </c>
      <c r="Q371">
        <v>266</v>
      </c>
      <c r="R371" s="43">
        <v>43810</v>
      </c>
      <c r="S371" s="44">
        <v>0.5</v>
      </c>
      <c r="T371" s="45">
        <v>-73.900000000000006</v>
      </c>
      <c r="U371" s="42">
        <v>0.35</v>
      </c>
      <c r="V371" s="46">
        <f t="shared" si="15"/>
        <v>-0.7390000000000001</v>
      </c>
      <c r="W371" s="42">
        <f t="shared" si="15"/>
        <v>3.4999999999999996E-3</v>
      </c>
    </row>
    <row r="372" spans="1:23" x14ac:dyDescent="0.2">
      <c r="A372">
        <v>244</v>
      </c>
      <c r="B372" s="43">
        <v>43809</v>
      </c>
      <c r="C372" s="44">
        <v>0.5</v>
      </c>
      <c r="D372">
        <v>15.608000000000001</v>
      </c>
      <c r="E372" s="42">
        <v>-1.5157031900000035</v>
      </c>
      <c r="F372" s="42">
        <f t="shared" si="16"/>
        <v>0.15608</v>
      </c>
      <c r="G372" s="42">
        <f t="shared" si="16"/>
        <v>-1.5157031900000036E-2</v>
      </c>
      <c r="I372">
        <v>247</v>
      </c>
      <c r="J372" s="43">
        <v>43797</v>
      </c>
      <c r="K372" s="44">
        <v>0.5</v>
      </c>
      <c r="L372" s="47">
        <v>13.407999999999999</v>
      </c>
      <c r="M372" s="42">
        <v>-1.803507025</v>
      </c>
      <c r="N372" s="42">
        <f t="shared" si="17"/>
        <v>0.13408</v>
      </c>
      <c r="O372" s="42">
        <f t="shared" si="17"/>
        <v>-1.803507025E-2</v>
      </c>
      <c r="Q372">
        <v>267</v>
      </c>
      <c r="R372" s="43">
        <v>43811</v>
      </c>
      <c r="S372" s="44">
        <v>0.5</v>
      </c>
      <c r="T372" s="45">
        <v>-70.5</v>
      </c>
      <c r="U372" s="42">
        <v>0.65</v>
      </c>
      <c r="V372" s="46">
        <f t="shared" si="15"/>
        <v>-0.70499999999999996</v>
      </c>
      <c r="W372" s="42">
        <f t="shared" si="15"/>
        <v>6.5000000000000006E-3</v>
      </c>
    </row>
    <row r="373" spans="1:23" x14ac:dyDescent="0.2">
      <c r="A373">
        <v>245</v>
      </c>
      <c r="B373" s="43">
        <v>43810</v>
      </c>
      <c r="C373" s="44">
        <v>0.5</v>
      </c>
      <c r="D373">
        <v>20.858000000000001</v>
      </c>
      <c r="E373" s="42">
        <v>-1.4657031900000064</v>
      </c>
      <c r="F373" s="42">
        <f t="shared" si="16"/>
        <v>0.20858000000000002</v>
      </c>
      <c r="G373" s="42">
        <f t="shared" si="16"/>
        <v>-1.4657031900000063E-2</v>
      </c>
      <c r="I373">
        <v>248</v>
      </c>
      <c r="J373" s="43">
        <v>43798</v>
      </c>
      <c r="K373" s="44">
        <v>0.5</v>
      </c>
      <c r="L373" s="47">
        <v>13.817</v>
      </c>
      <c r="M373" s="42">
        <v>-1.803507025</v>
      </c>
      <c r="N373" s="42">
        <f t="shared" si="17"/>
        <v>0.13817000000000002</v>
      </c>
      <c r="O373" s="42">
        <f t="shared" si="17"/>
        <v>-1.803507025E-2</v>
      </c>
      <c r="Q373">
        <v>268</v>
      </c>
      <c r="R373" s="43">
        <v>43812</v>
      </c>
      <c r="S373" s="44">
        <v>0.5</v>
      </c>
      <c r="T373" s="45">
        <v>-75.400000000000006</v>
      </c>
      <c r="U373" s="42">
        <v>0.55000000000000004</v>
      </c>
      <c r="V373" s="46">
        <f t="shared" si="15"/>
        <v>-0.754</v>
      </c>
      <c r="W373" s="42">
        <f t="shared" si="15"/>
        <v>5.5000000000000005E-3</v>
      </c>
    </row>
    <row r="374" spans="1:23" x14ac:dyDescent="0.2">
      <c r="A374">
        <v>246</v>
      </c>
      <c r="B374" s="43">
        <v>43811</v>
      </c>
      <c r="C374" s="44">
        <v>0.5</v>
      </c>
      <c r="D374">
        <v>20.507999999999999</v>
      </c>
      <c r="E374" s="42">
        <v>-1.4157031900000021</v>
      </c>
      <c r="F374" s="42">
        <f t="shared" si="16"/>
        <v>0.20507999999999998</v>
      </c>
      <c r="G374" s="42">
        <f t="shared" si="16"/>
        <v>-1.4157031900000021E-2</v>
      </c>
      <c r="I374">
        <v>249</v>
      </c>
      <c r="J374" s="43">
        <v>43799</v>
      </c>
      <c r="K374" s="44">
        <v>0.5</v>
      </c>
      <c r="L374" s="47">
        <v>13.641999999999999</v>
      </c>
      <c r="M374" s="42">
        <v>-1.803507025</v>
      </c>
      <c r="N374" s="42">
        <f t="shared" si="17"/>
        <v>0.13641999999999999</v>
      </c>
      <c r="O374" s="42">
        <f t="shared" si="17"/>
        <v>-1.803507025E-2</v>
      </c>
      <c r="Q374">
        <v>269</v>
      </c>
      <c r="R374" s="43">
        <v>43813</v>
      </c>
      <c r="S374" s="44">
        <v>0.5</v>
      </c>
      <c r="T374" s="45">
        <v>-76.900000000000006</v>
      </c>
      <c r="U374" s="42">
        <v>0.55000000000000004</v>
      </c>
      <c r="V374" s="46">
        <f t="shared" si="15"/>
        <v>-0.76900000000000002</v>
      </c>
      <c r="W374" s="42">
        <f t="shared" si="15"/>
        <v>5.5000000000000005E-3</v>
      </c>
    </row>
    <row r="375" spans="1:23" x14ac:dyDescent="0.2">
      <c r="A375">
        <v>247</v>
      </c>
      <c r="B375" s="43">
        <v>43812</v>
      </c>
      <c r="C375" s="44">
        <v>0.5</v>
      </c>
      <c r="D375">
        <v>23.308</v>
      </c>
      <c r="E375" s="42">
        <v>-1.4657031900000064</v>
      </c>
      <c r="F375" s="42">
        <f t="shared" si="16"/>
        <v>0.23308000000000001</v>
      </c>
      <c r="G375" s="42">
        <f t="shared" si="16"/>
        <v>-1.4657031900000063E-2</v>
      </c>
      <c r="I375">
        <v>250</v>
      </c>
      <c r="J375" s="43">
        <v>43800</v>
      </c>
      <c r="K375" s="44">
        <v>0.5</v>
      </c>
      <c r="L375" s="47">
        <v>15.042</v>
      </c>
      <c r="M375" s="42">
        <v>-1.8535070250000001</v>
      </c>
      <c r="N375" s="42">
        <f t="shared" si="17"/>
        <v>0.15042</v>
      </c>
      <c r="O375" s="42">
        <f t="shared" si="17"/>
        <v>-1.8535070250000001E-2</v>
      </c>
      <c r="Q375">
        <v>270</v>
      </c>
      <c r="R375" s="43">
        <v>43814</v>
      </c>
      <c r="S375" s="44">
        <v>0.5</v>
      </c>
      <c r="T375" s="45">
        <v>-62.8</v>
      </c>
      <c r="U375" s="42">
        <v>0.55000000000000004</v>
      </c>
      <c r="V375" s="46">
        <f t="shared" ref="V375:W413" si="18">T375/100</f>
        <v>-0.628</v>
      </c>
      <c r="W375" s="42">
        <f t="shared" si="18"/>
        <v>5.5000000000000005E-3</v>
      </c>
    </row>
    <row r="376" spans="1:23" x14ac:dyDescent="0.2">
      <c r="A376">
        <v>248</v>
      </c>
      <c r="B376" s="43">
        <v>43813</v>
      </c>
      <c r="C376" s="44">
        <v>0.5</v>
      </c>
      <c r="D376">
        <v>19.574999999999999</v>
      </c>
      <c r="E376" s="42">
        <v>-1.5157031900000035</v>
      </c>
      <c r="F376" s="42">
        <f t="shared" si="16"/>
        <v>0.19574999999999998</v>
      </c>
      <c r="G376" s="42">
        <f t="shared" si="16"/>
        <v>-1.5157031900000036E-2</v>
      </c>
      <c r="I376">
        <v>251</v>
      </c>
      <c r="J376" s="43">
        <v>43801</v>
      </c>
      <c r="K376" s="44">
        <v>0.5</v>
      </c>
      <c r="L376" s="47">
        <v>14.4</v>
      </c>
      <c r="M376" s="42">
        <v>-1.803507025</v>
      </c>
      <c r="N376" s="42">
        <f t="shared" si="17"/>
        <v>0.14400000000000002</v>
      </c>
      <c r="O376" s="42">
        <f t="shared" si="17"/>
        <v>-1.803507025E-2</v>
      </c>
      <c r="Q376">
        <v>271</v>
      </c>
      <c r="R376" s="43">
        <v>43815</v>
      </c>
      <c r="S376" s="44">
        <v>0.5</v>
      </c>
      <c r="T376" s="45">
        <v>-66</v>
      </c>
      <c r="U376" s="42">
        <v>0.7</v>
      </c>
      <c r="V376" s="46">
        <f t="shared" si="18"/>
        <v>-0.66</v>
      </c>
      <c r="W376" s="42">
        <f t="shared" si="18"/>
        <v>6.9999999999999993E-3</v>
      </c>
    </row>
    <row r="377" spans="1:23" x14ac:dyDescent="0.2">
      <c r="A377">
        <v>249</v>
      </c>
      <c r="B377" s="43">
        <v>43814</v>
      </c>
      <c r="C377" s="44">
        <v>0.5</v>
      </c>
      <c r="D377">
        <v>32.292000000000002</v>
      </c>
      <c r="E377" s="42">
        <v>-1.5157031900000035</v>
      </c>
      <c r="F377" s="42">
        <f t="shared" si="16"/>
        <v>0.32292000000000004</v>
      </c>
      <c r="G377" s="42">
        <f t="shared" si="16"/>
        <v>-1.5157031900000036E-2</v>
      </c>
      <c r="I377">
        <v>252</v>
      </c>
      <c r="J377" s="43">
        <v>43802</v>
      </c>
      <c r="K377" s="44">
        <v>0.5</v>
      </c>
      <c r="L377" s="47">
        <v>13</v>
      </c>
      <c r="M377" s="42">
        <v>-1.753507025</v>
      </c>
      <c r="N377" s="42">
        <f t="shared" si="17"/>
        <v>0.13</v>
      </c>
      <c r="O377" s="42">
        <f t="shared" si="17"/>
        <v>-1.753507025E-2</v>
      </c>
      <c r="Q377">
        <v>272</v>
      </c>
      <c r="R377" s="43">
        <v>43816</v>
      </c>
      <c r="S377" s="44">
        <v>0.5</v>
      </c>
      <c r="T377" s="45">
        <v>-60.099999999999994</v>
      </c>
      <c r="U377" s="42">
        <v>0.75</v>
      </c>
      <c r="V377" s="46">
        <f t="shared" si="18"/>
        <v>-0.60099999999999998</v>
      </c>
      <c r="W377" s="42">
        <f t="shared" si="18"/>
        <v>7.4999999999999997E-3</v>
      </c>
    </row>
    <row r="378" spans="1:23" x14ac:dyDescent="0.2">
      <c r="A378">
        <v>250</v>
      </c>
      <c r="B378" s="43">
        <v>43815</v>
      </c>
      <c r="C378" s="44">
        <v>0.5</v>
      </c>
      <c r="D378">
        <v>25.408000000000001</v>
      </c>
      <c r="E378" s="42">
        <v>-1.5157031900000035</v>
      </c>
      <c r="F378" s="42">
        <f t="shared" si="16"/>
        <v>0.25408000000000003</v>
      </c>
      <c r="G378" s="42">
        <f t="shared" si="16"/>
        <v>-1.5157031900000036E-2</v>
      </c>
      <c r="I378">
        <v>253</v>
      </c>
      <c r="J378" s="43">
        <v>43803</v>
      </c>
      <c r="K378" s="44">
        <v>0.5</v>
      </c>
      <c r="L378" s="47">
        <v>11.891999999999999</v>
      </c>
      <c r="M378" s="42">
        <v>-1.8535070250000001</v>
      </c>
      <c r="N378" s="42">
        <f t="shared" si="17"/>
        <v>0.11892</v>
      </c>
      <c r="O378" s="42">
        <f t="shared" si="17"/>
        <v>-1.8535070250000001E-2</v>
      </c>
      <c r="Q378">
        <v>273</v>
      </c>
      <c r="R378" s="43">
        <v>43817</v>
      </c>
      <c r="S378" s="44">
        <v>0.5</v>
      </c>
      <c r="T378" s="45">
        <v>-54.1</v>
      </c>
      <c r="U378" s="42">
        <v>0.8</v>
      </c>
      <c r="V378" s="46">
        <f t="shared" si="18"/>
        <v>-0.54100000000000004</v>
      </c>
      <c r="W378" s="42">
        <f t="shared" si="18"/>
        <v>8.0000000000000002E-3</v>
      </c>
    </row>
    <row r="379" spans="1:23" x14ac:dyDescent="0.2">
      <c r="A379">
        <v>251</v>
      </c>
      <c r="B379" s="43">
        <v>43816</v>
      </c>
      <c r="C379" s="44">
        <v>0.5</v>
      </c>
      <c r="D379">
        <v>22.9</v>
      </c>
      <c r="E379" s="42">
        <v>-1.4657031900000064</v>
      </c>
      <c r="F379" s="42">
        <f t="shared" si="16"/>
        <v>0.22899999999999998</v>
      </c>
      <c r="G379" s="42">
        <f t="shared" si="16"/>
        <v>-1.4657031900000063E-2</v>
      </c>
      <c r="I379">
        <v>254</v>
      </c>
      <c r="J379" s="43">
        <v>43804</v>
      </c>
      <c r="K379" s="44">
        <v>0.5</v>
      </c>
      <c r="L379" s="47">
        <v>11.25</v>
      </c>
      <c r="M379" s="42">
        <v>-1.8535070250000001</v>
      </c>
      <c r="N379" s="42">
        <f t="shared" si="17"/>
        <v>0.1125</v>
      </c>
      <c r="O379" s="42">
        <f t="shared" si="17"/>
        <v>-1.8535070250000001E-2</v>
      </c>
      <c r="Q379">
        <v>274</v>
      </c>
      <c r="R379" s="43">
        <v>43818</v>
      </c>
      <c r="S379" s="44">
        <v>0.5</v>
      </c>
      <c r="T379" s="45">
        <v>-54.1</v>
      </c>
      <c r="U379" s="42">
        <v>0.9</v>
      </c>
      <c r="V379" s="46">
        <f t="shared" si="18"/>
        <v>-0.54100000000000004</v>
      </c>
      <c r="W379" s="42">
        <f t="shared" si="18"/>
        <v>9.0000000000000011E-3</v>
      </c>
    </row>
    <row r="380" spans="1:23" x14ac:dyDescent="0.2">
      <c r="A380">
        <v>252</v>
      </c>
      <c r="B380" s="43">
        <v>43817</v>
      </c>
      <c r="C380" s="44">
        <v>0.5</v>
      </c>
      <c r="D380">
        <v>21.617000000000001</v>
      </c>
      <c r="E380" s="42">
        <v>-1.4657031900000064</v>
      </c>
      <c r="F380" s="42">
        <f t="shared" si="16"/>
        <v>0.21617</v>
      </c>
      <c r="G380" s="42">
        <f t="shared" si="16"/>
        <v>-1.4657031900000063E-2</v>
      </c>
      <c r="I380">
        <v>255</v>
      </c>
      <c r="J380" s="43">
        <v>43805</v>
      </c>
      <c r="K380" s="44">
        <v>0.5</v>
      </c>
      <c r="L380" s="47">
        <v>15.333</v>
      </c>
      <c r="M380" s="42">
        <v>-1.953507025</v>
      </c>
      <c r="N380" s="42">
        <f t="shared" si="17"/>
        <v>0.15332999999999999</v>
      </c>
      <c r="O380" s="42">
        <f t="shared" si="17"/>
        <v>-1.9535070249999998E-2</v>
      </c>
      <c r="Q380">
        <v>275</v>
      </c>
      <c r="R380" s="43">
        <v>43819</v>
      </c>
      <c r="S380" s="44">
        <v>0.5</v>
      </c>
      <c r="T380" s="45">
        <v>-57.3</v>
      </c>
      <c r="U380" s="42">
        <v>0.85</v>
      </c>
      <c r="V380" s="46">
        <f t="shared" si="18"/>
        <v>-0.57299999999999995</v>
      </c>
      <c r="W380" s="42">
        <f t="shared" si="18"/>
        <v>8.5000000000000006E-3</v>
      </c>
    </row>
    <row r="381" spans="1:23" x14ac:dyDescent="0.2">
      <c r="A381">
        <v>253</v>
      </c>
      <c r="B381" s="43">
        <v>43818</v>
      </c>
      <c r="C381" s="44">
        <v>0.5</v>
      </c>
      <c r="D381">
        <v>23.425000000000001</v>
      </c>
      <c r="E381" s="42">
        <v>-1.4157031900000021</v>
      </c>
      <c r="F381" s="42">
        <f t="shared" si="16"/>
        <v>0.23425000000000001</v>
      </c>
      <c r="G381" s="42">
        <f t="shared" si="16"/>
        <v>-1.4157031900000021E-2</v>
      </c>
      <c r="I381">
        <v>256</v>
      </c>
      <c r="J381" s="43">
        <v>43806</v>
      </c>
      <c r="K381" s="44">
        <v>0.5</v>
      </c>
      <c r="L381" s="47">
        <v>13.641999999999999</v>
      </c>
      <c r="M381" s="42">
        <v>-1.8535070250000001</v>
      </c>
      <c r="N381" s="42">
        <f t="shared" si="17"/>
        <v>0.13641999999999999</v>
      </c>
      <c r="O381" s="42">
        <f t="shared" si="17"/>
        <v>-1.8535070250000001E-2</v>
      </c>
      <c r="Q381">
        <v>276</v>
      </c>
      <c r="R381" s="43">
        <v>43820</v>
      </c>
      <c r="S381" s="44">
        <v>0.5</v>
      </c>
      <c r="T381" s="45">
        <v>-53.400000000000006</v>
      </c>
      <c r="U381" s="42">
        <v>1.1000000000000001</v>
      </c>
      <c r="V381" s="46">
        <f t="shared" si="18"/>
        <v>-0.53400000000000003</v>
      </c>
      <c r="W381" s="42">
        <f t="shared" si="18"/>
        <v>1.1000000000000001E-2</v>
      </c>
    </row>
    <row r="382" spans="1:23" x14ac:dyDescent="0.2">
      <c r="A382">
        <v>254</v>
      </c>
      <c r="B382" s="43">
        <v>43819</v>
      </c>
      <c r="C382" s="44">
        <v>0.5</v>
      </c>
      <c r="D382">
        <v>23.074999999999999</v>
      </c>
      <c r="E382" s="42">
        <v>-1.4657031900000064</v>
      </c>
      <c r="F382" s="42">
        <f t="shared" si="16"/>
        <v>0.23074999999999998</v>
      </c>
      <c r="G382" s="42">
        <f t="shared" si="16"/>
        <v>-1.4657031900000063E-2</v>
      </c>
      <c r="I382">
        <v>257</v>
      </c>
      <c r="J382" s="43">
        <v>43807</v>
      </c>
      <c r="K382" s="44">
        <v>0.5</v>
      </c>
      <c r="L382" s="47">
        <v>13.817</v>
      </c>
      <c r="M382" s="42">
        <v>-1.8535070250000001</v>
      </c>
      <c r="N382" s="42">
        <f t="shared" si="17"/>
        <v>0.13817000000000002</v>
      </c>
      <c r="O382" s="42">
        <f t="shared" si="17"/>
        <v>-1.8535070250000001E-2</v>
      </c>
      <c r="Q382">
        <v>277</v>
      </c>
      <c r="R382" s="43">
        <v>43821</v>
      </c>
      <c r="S382" s="44">
        <v>0.5</v>
      </c>
      <c r="T382" s="45">
        <v>-56.899999999999991</v>
      </c>
      <c r="U382" s="42">
        <v>1</v>
      </c>
      <c r="V382" s="46">
        <f t="shared" si="18"/>
        <v>-0.56899999999999995</v>
      </c>
      <c r="W382" s="42">
        <f t="shared" si="18"/>
        <v>0.01</v>
      </c>
    </row>
    <row r="383" spans="1:23" x14ac:dyDescent="0.2">
      <c r="A383">
        <v>255</v>
      </c>
      <c r="B383" s="43">
        <v>43820</v>
      </c>
      <c r="C383" s="44">
        <v>0.5</v>
      </c>
      <c r="D383">
        <v>22.492000000000001</v>
      </c>
      <c r="E383" s="42">
        <v>-1.4657031900000064</v>
      </c>
      <c r="F383" s="42">
        <f t="shared" si="16"/>
        <v>0.22492000000000001</v>
      </c>
      <c r="G383" s="42">
        <f t="shared" si="16"/>
        <v>-1.4657031900000063E-2</v>
      </c>
      <c r="I383">
        <v>258</v>
      </c>
      <c r="J383" s="43">
        <v>43808</v>
      </c>
      <c r="K383" s="44">
        <v>0.5</v>
      </c>
      <c r="L383" s="47">
        <v>12.532999999999999</v>
      </c>
      <c r="M383" s="42">
        <v>-1.8535070250000001</v>
      </c>
      <c r="N383" s="42">
        <f t="shared" si="17"/>
        <v>0.12533</v>
      </c>
      <c r="O383" s="42">
        <f t="shared" si="17"/>
        <v>-1.8535070250000001E-2</v>
      </c>
      <c r="Q383">
        <v>278</v>
      </c>
      <c r="R383" s="43">
        <v>43822</v>
      </c>
      <c r="S383" s="44">
        <v>0.5</v>
      </c>
      <c r="T383" s="45">
        <v>-58.9</v>
      </c>
      <c r="U383" s="42">
        <v>0.95</v>
      </c>
      <c r="V383" s="46">
        <f t="shared" si="18"/>
        <v>-0.58899999999999997</v>
      </c>
      <c r="W383" s="42">
        <f t="shared" si="18"/>
        <v>9.4999999999999998E-3</v>
      </c>
    </row>
    <row r="384" spans="1:23" x14ac:dyDescent="0.2">
      <c r="A384">
        <v>256</v>
      </c>
      <c r="B384" s="43">
        <v>43821</v>
      </c>
      <c r="C384" s="44">
        <v>0.5</v>
      </c>
      <c r="D384">
        <v>23.425000000000001</v>
      </c>
      <c r="E384" s="42">
        <v>-1.4657031900000064</v>
      </c>
      <c r="F384" s="42">
        <f t="shared" si="16"/>
        <v>0.23425000000000001</v>
      </c>
      <c r="G384" s="42">
        <f t="shared" si="16"/>
        <v>-1.4657031900000063E-2</v>
      </c>
      <c r="I384">
        <v>259</v>
      </c>
      <c r="J384" s="43">
        <v>43809</v>
      </c>
      <c r="K384" s="44">
        <v>0.5</v>
      </c>
      <c r="L384" s="47">
        <v>12.824999999999999</v>
      </c>
      <c r="M384" s="42">
        <v>-1.9035070249999999</v>
      </c>
      <c r="N384" s="42">
        <f t="shared" si="17"/>
        <v>0.12825</v>
      </c>
      <c r="O384" s="42">
        <f t="shared" si="17"/>
        <v>-1.9035070249999998E-2</v>
      </c>
      <c r="Q384">
        <v>279</v>
      </c>
      <c r="R384" s="43">
        <v>43823</v>
      </c>
      <c r="S384" s="44">
        <v>0.5</v>
      </c>
      <c r="T384" s="45">
        <v>-62.2</v>
      </c>
      <c r="U384" s="42">
        <v>0.95</v>
      </c>
      <c r="V384" s="46">
        <f t="shared" si="18"/>
        <v>-0.622</v>
      </c>
      <c r="W384" s="42">
        <f t="shared" si="18"/>
        <v>9.4999999999999998E-3</v>
      </c>
    </row>
    <row r="385" spans="1:23" x14ac:dyDescent="0.2">
      <c r="A385">
        <v>257</v>
      </c>
      <c r="B385" s="43">
        <v>43822</v>
      </c>
      <c r="C385" s="44">
        <v>0.5</v>
      </c>
      <c r="D385">
        <v>20.507999999999999</v>
      </c>
      <c r="E385" s="42">
        <v>-1.365703190000005</v>
      </c>
      <c r="F385" s="42">
        <f t="shared" si="16"/>
        <v>0.20507999999999998</v>
      </c>
      <c r="G385" s="42">
        <f t="shared" si="16"/>
        <v>-1.365703190000005E-2</v>
      </c>
      <c r="I385">
        <v>260</v>
      </c>
      <c r="J385" s="43">
        <v>43810</v>
      </c>
      <c r="K385" s="44">
        <v>0.5</v>
      </c>
      <c r="L385" s="47">
        <v>14.05</v>
      </c>
      <c r="M385" s="42">
        <v>-1.9035070249999999</v>
      </c>
      <c r="N385" s="42">
        <f t="shared" si="17"/>
        <v>0.14050000000000001</v>
      </c>
      <c r="O385" s="42">
        <f t="shared" si="17"/>
        <v>-1.9035070249999998E-2</v>
      </c>
      <c r="Q385">
        <v>280</v>
      </c>
      <c r="R385" s="43">
        <v>43824</v>
      </c>
      <c r="S385" s="44">
        <v>0.5</v>
      </c>
      <c r="T385" s="45">
        <v>-56.399999999999991</v>
      </c>
      <c r="U385" s="42">
        <v>1</v>
      </c>
      <c r="V385" s="46">
        <f t="shared" si="18"/>
        <v>-0.56399999999999995</v>
      </c>
      <c r="W385" s="42">
        <f t="shared" si="18"/>
        <v>0.01</v>
      </c>
    </row>
    <row r="386" spans="1:23" x14ac:dyDescent="0.2">
      <c r="A386">
        <v>258</v>
      </c>
      <c r="B386" s="43">
        <v>43823</v>
      </c>
      <c r="C386" s="44">
        <v>0.5</v>
      </c>
      <c r="D386">
        <v>17.591999999999999</v>
      </c>
      <c r="E386" s="42">
        <v>-1.365703190000005</v>
      </c>
      <c r="F386" s="42">
        <f t="shared" si="16"/>
        <v>0.17591999999999999</v>
      </c>
      <c r="G386" s="42">
        <f t="shared" si="16"/>
        <v>-1.365703190000005E-2</v>
      </c>
      <c r="I386">
        <v>261</v>
      </c>
      <c r="J386" s="43">
        <v>43811</v>
      </c>
      <c r="K386" s="44">
        <v>0.5</v>
      </c>
      <c r="L386" s="47">
        <v>13.525</v>
      </c>
      <c r="M386" s="42">
        <v>-1.9035070249999999</v>
      </c>
      <c r="N386" s="42">
        <f t="shared" si="17"/>
        <v>0.13525000000000001</v>
      </c>
      <c r="O386" s="42">
        <f t="shared" si="17"/>
        <v>-1.9035070249999998E-2</v>
      </c>
      <c r="Q386">
        <v>281</v>
      </c>
      <c r="R386" s="43">
        <v>43825</v>
      </c>
      <c r="S386" s="44">
        <v>0.5</v>
      </c>
      <c r="T386" s="45">
        <v>-59.199999999999996</v>
      </c>
      <c r="U386" s="42">
        <v>0.95</v>
      </c>
      <c r="V386" s="46">
        <f t="shared" si="18"/>
        <v>-0.59199999999999997</v>
      </c>
      <c r="W386" s="42">
        <f t="shared" si="18"/>
        <v>9.4999999999999998E-3</v>
      </c>
    </row>
    <row r="387" spans="1:23" x14ac:dyDescent="0.2">
      <c r="A387">
        <v>259</v>
      </c>
      <c r="B387" s="43">
        <v>43824</v>
      </c>
      <c r="C387" s="44">
        <v>0.5</v>
      </c>
      <c r="D387">
        <v>17.591999999999999</v>
      </c>
      <c r="E387" s="42">
        <v>-1.365703190000005</v>
      </c>
      <c r="F387" s="42">
        <f t="shared" si="16"/>
        <v>0.17591999999999999</v>
      </c>
      <c r="G387" s="42">
        <f t="shared" si="16"/>
        <v>-1.365703190000005E-2</v>
      </c>
      <c r="I387">
        <v>262</v>
      </c>
      <c r="J387" s="43">
        <v>43812</v>
      </c>
      <c r="K387" s="44">
        <v>0.5</v>
      </c>
      <c r="L387" s="47">
        <v>11.717000000000001</v>
      </c>
      <c r="M387" s="42">
        <v>-1.8535070250000001</v>
      </c>
      <c r="N387" s="42">
        <f t="shared" si="17"/>
        <v>0.11717000000000001</v>
      </c>
      <c r="O387" s="42">
        <f t="shared" si="17"/>
        <v>-1.8535070250000001E-2</v>
      </c>
      <c r="Q387">
        <v>282</v>
      </c>
      <c r="R387" s="43">
        <v>43826</v>
      </c>
      <c r="S387" s="44">
        <v>0.5</v>
      </c>
      <c r="T387" s="45">
        <v>-62.5</v>
      </c>
      <c r="U387" s="42">
        <v>0.95</v>
      </c>
      <c r="V387" s="46">
        <f t="shared" si="18"/>
        <v>-0.625</v>
      </c>
      <c r="W387" s="42">
        <f t="shared" si="18"/>
        <v>9.4999999999999998E-3</v>
      </c>
    </row>
    <row r="388" spans="1:23" x14ac:dyDescent="0.2">
      <c r="A388">
        <v>260</v>
      </c>
      <c r="B388" s="43">
        <v>43825</v>
      </c>
      <c r="C388" s="44">
        <v>0.5</v>
      </c>
      <c r="D388">
        <v>15.375</v>
      </c>
      <c r="E388" s="42">
        <v>-1.4157031900000021</v>
      </c>
      <c r="F388" s="42">
        <f t="shared" si="16"/>
        <v>0.15375</v>
      </c>
      <c r="G388" s="42">
        <f t="shared" si="16"/>
        <v>-1.4157031900000021E-2</v>
      </c>
      <c r="I388">
        <v>263</v>
      </c>
      <c r="J388" s="43">
        <v>43813</v>
      </c>
      <c r="K388" s="44">
        <v>0.5</v>
      </c>
      <c r="L388" s="47">
        <v>12.3</v>
      </c>
      <c r="M388" s="42">
        <v>-1.8985335679999999</v>
      </c>
      <c r="N388" s="42">
        <f t="shared" si="17"/>
        <v>0.12300000000000001</v>
      </c>
      <c r="O388" s="42">
        <f t="shared" si="17"/>
        <v>-1.898533568E-2</v>
      </c>
      <c r="Q388">
        <v>283</v>
      </c>
      <c r="R388" s="43">
        <v>43827</v>
      </c>
      <c r="S388" s="44">
        <v>0.5</v>
      </c>
      <c r="T388" s="45">
        <v>-65.400000000000006</v>
      </c>
      <c r="U388" s="42">
        <v>0.9</v>
      </c>
      <c r="V388" s="46">
        <f t="shared" si="18"/>
        <v>-0.65400000000000003</v>
      </c>
      <c r="W388" s="42">
        <f t="shared" si="18"/>
        <v>9.0000000000000011E-3</v>
      </c>
    </row>
    <row r="389" spans="1:23" x14ac:dyDescent="0.2">
      <c r="A389">
        <v>261</v>
      </c>
      <c r="B389" s="43">
        <v>43826</v>
      </c>
      <c r="C389" s="44">
        <v>0.5</v>
      </c>
      <c r="D389">
        <v>13.45</v>
      </c>
      <c r="E389" s="42">
        <v>-1.4157031900000021</v>
      </c>
      <c r="F389" s="42">
        <f t="shared" si="16"/>
        <v>0.13449999999999998</v>
      </c>
      <c r="G389" s="42">
        <f t="shared" si="16"/>
        <v>-1.4157031900000021E-2</v>
      </c>
      <c r="I389">
        <v>264</v>
      </c>
      <c r="J389" s="43">
        <v>43814</v>
      </c>
      <c r="K389" s="44">
        <v>0.5</v>
      </c>
      <c r="L389" s="47">
        <v>13.525</v>
      </c>
      <c r="M389" s="42">
        <v>-1.901499015</v>
      </c>
      <c r="N389" s="42">
        <f t="shared" si="17"/>
        <v>0.13525000000000001</v>
      </c>
      <c r="O389" s="42">
        <f t="shared" si="17"/>
        <v>-1.9014990150000001E-2</v>
      </c>
      <c r="Q389">
        <v>284</v>
      </c>
      <c r="R389" s="43">
        <v>43828</v>
      </c>
      <c r="S389" s="44">
        <v>0.5</v>
      </c>
      <c r="T389" s="45">
        <v>-66.7</v>
      </c>
      <c r="U389" s="42">
        <v>0.9</v>
      </c>
      <c r="V389" s="46">
        <f t="shared" si="18"/>
        <v>-0.66700000000000004</v>
      </c>
      <c r="W389" s="42">
        <f t="shared" si="18"/>
        <v>9.0000000000000011E-3</v>
      </c>
    </row>
    <row r="390" spans="1:23" x14ac:dyDescent="0.2">
      <c r="A390">
        <v>262</v>
      </c>
      <c r="B390" s="43">
        <v>43827</v>
      </c>
      <c r="C390" s="44">
        <v>0.5</v>
      </c>
      <c r="D390">
        <v>11.175000000000001</v>
      </c>
      <c r="E390" s="42">
        <v>-1.4157031900000021</v>
      </c>
      <c r="F390" s="42">
        <f t="shared" si="16"/>
        <v>0.11175</v>
      </c>
      <c r="G390" s="42">
        <f t="shared" si="16"/>
        <v>-1.4157031900000021E-2</v>
      </c>
      <c r="I390">
        <v>265</v>
      </c>
      <c r="J390" s="43">
        <v>43815</v>
      </c>
      <c r="K390" s="44">
        <v>0.5</v>
      </c>
      <c r="L390" s="47">
        <v>13.35</v>
      </c>
      <c r="M390" s="42">
        <v>-1.8535070250000001</v>
      </c>
      <c r="N390" s="42">
        <f t="shared" si="17"/>
        <v>0.13350000000000001</v>
      </c>
      <c r="O390" s="42">
        <f t="shared" si="17"/>
        <v>-1.8535070250000001E-2</v>
      </c>
      <c r="Q390">
        <v>285</v>
      </c>
      <c r="R390" s="43">
        <v>43829</v>
      </c>
      <c r="S390" s="44">
        <v>0.5</v>
      </c>
      <c r="T390" s="45">
        <v>-69.199999999999989</v>
      </c>
      <c r="U390" s="42">
        <v>0.9</v>
      </c>
      <c r="V390" s="46">
        <f t="shared" si="18"/>
        <v>-0.69199999999999984</v>
      </c>
      <c r="W390" s="42">
        <f t="shared" si="18"/>
        <v>9.0000000000000011E-3</v>
      </c>
    </row>
    <row r="391" spans="1:23" x14ac:dyDescent="0.2">
      <c r="A391">
        <v>263</v>
      </c>
      <c r="B391" s="43">
        <v>43828</v>
      </c>
      <c r="C391" s="44">
        <v>0.5</v>
      </c>
      <c r="D391">
        <v>8.9580000000000002</v>
      </c>
      <c r="E391" s="42">
        <v>-1.4657031900000064</v>
      </c>
      <c r="F391" s="42">
        <f t="shared" si="16"/>
        <v>8.9580000000000007E-2</v>
      </c>
      <c r="G391" s="42">
        <f t="shared" si="16"/>
        <v>-1.4657031900000063E-2</v>
      </c>
      <c r="I391">
        <v>266</v>
      </c>
      <c r="J391" s="43">
        <v>43816</v>
      </c>
      <c r="K391" s="44">
        <v>0.5</v>
      </c>
      <c r="L391" s="47">
        <v>13.583</v>
      </c>
      <c r="M391" s="42">
        <v>-1.8691398829999999</v>
      </c>
      <c r="N391" s="42">
        <f t="shared" si="17"/>
        <v>0.13583000000000001</v>
      </c>
      <c r="O391" s="42">
        <f t="shared" si="17"/>
        <v>-1.8691398829999997E-2</v>
      </c>
      <c r="Q391">
        <v>286</v>
      </c>
      <c r="R391" s="43">
        <v>43830</v>
      </c>
      <c r="S391" s="44">
        <v>0.5</v>
      </c>
      <c r="T391" s="45">
        <v>-72.2</v>
      </c>
      <c r="U391" s="42">
        <v>0.85</v>
      </c>
      <c r="V391" s="46">
        <f t="shared" si="18"/>
        <v>-0.72199999999999998</v>
      </c>
      <c r="W391" s="42">
        <f t="shared" si="18"/>
        <v>8.5000000000000006E-3</v>
      </c>
    </row>
    <row r="392" spans="1:23" x14ac:dyDescent="0.2">
      <c r="A392">
        <v>264</v>
      </c>
      <c r="B392" s="43">
        <v>43829</v>
      </c>
      <c r="C392" s="44">
        <v>0.5</v>
      </c>
      <c r="D392">
        <v>8.5500000000000007</v>
      </c>
      <c r="E392" s="42">
        <v>-1.4657031900000064</v>
      </c>
      <c r="F392" s="42">
        <f t="shared" si="16"/>
        <v>8.5500000000000007E-2</v>
      </c>
      <c r="G392" s="42">
        <f t="shared" si="16"/>
        <v>-1.4657031900000063E-2</v>
      </c>
      <c r="I392">
        <v>267</v>
      </c>
      <c r="J392" s="43">
        <v>43817</v>
      </c>
      <c r="K392" s="44">
        <v>0.5</v>
      </c>
      <c r="L392" s="47">
        <v>13.7</v>
      </c>
      <c r="M392" s="42">
        <v>-1.847569612</v>
      </c>
      <c r="N392" s="42">
        <f t="shared" si="17"/>
        <v>0.13699999999999998</v>
      </c>
      <c r="O392" s="42">
        <f t="shared" si="17"/>
        <v>-1.8475696119999999E-2</v>
      </c>
      <c r="Q392">
        <v>287</v>
      </c>
      <c r="R392" s="43">
        <v>43831</v>
      </c>
      <c r="S392" s="44">
        <v>0.5</v>
      </c>
      <c r="T392" s="45">
        <v>-75.599999999999994</v>
      </c>
      <c r="U392" s="42">
        <v>0.8</v>
      </c>
      <c r="V392" s="46">
        <f t="shared" si="18"/>
        <v>-0.75599999999999989</v>
      </c>
      <c r="W392" s="42">
        <f t="shared" si="18"/>
        <v>8.0000000000000002E-3</v>
      </c>
    </row>
    <row r="393" spans="1:23" x14ac:dyDescent="0.2">
      <c r="A393">
        <v>265</v>
      </c>
      <c r="B393" s="43">
        <v>43830</v>
      </c>
      <c r="C393" s="44">
        <v>0.5</v>
      </c>
      <c r="D393">
        <v>5.9829999999999997</v>
      </c>
      <c r="E393" s="42">
        <v>-1.4157031900000021</v>
      </c>
      <c r="F393" s="42">
        <f t="shared" si="16"/>
        <v>5.9829999999999994E-2</v>
      </c>
      <c r="G393" s="42">
        <f t="shared" si="16"/>
        <v>-1.4157031900000021E-2</v>
      </c>
      <c r="I393">
        <v>268</v>
      </c>
      <c r="J393" s="43">
        <v>43818</v>
      </c>
      <c r="K393" s="44">
        <v>0.5</v>
      </c>
      <c r="L393" s="47">
        <v>15.157999999999999</v>
      </c>
      <c r="M393" s="42">
        <v>-1.8535070250000001</v>
      </c>
      <c r="N393" s="42">
        <f t="shared" si="17"/>
        <v>0.15157999999999999</v>
      </c>
      <c r="O393" s="42">
        <f t="shared" si="17"/>
        <v>-1.8535070250000001E-2</v>
      </c>
      <c r="Q393">
        <v>288</v>
      </c>
      <c r="R393" s="43">
        <v>43832</v>
      </c>
      <c r="S393" s="44">
        <v>0.5</v>
      </c>
      <c r="T393" s="45">
        <v>-72.7</v>
      </c>
      <c r="U393" s="42">
        <v>0.75</v>
      </c>
      <c r="V393" s="46">
        <f t="shared" si="18"/>
        <v>-0.72699999999999998</v>
      </c>
      <c r="W393" s="42">
        <f t="shared" si="18"/>
        <v>7.4999999999999997E-3</v>
      </c>
    </row>
    <row r="394" spans="1:23" x14ac:dyDescent="0.2">
      <c r="A394">
        <v>266</v>
      </c>
      <c r="B394" s="43">
        <v>43831</v>
      </c>
      <c r="C394" s="44">
        <v>0.5</v>
      </c>
      <c r="D394">
        <v>6.9169999999999998</v>
      </c>
      <c r="E394" s="42">
        <v>-1.4157031900000021</v>
      </c>
      <c r="F394" s="42">
        <f t="shared" si="16"/>
        <v>6.9169999999999995E-2</v>
      </c>
      <c r="G394" s="42">
        <f t="shared" si="16"/>
        <v>-1.4157031900000021E-2</v>
      </c>
      <c r="I394">
        <v>269</v>
      </c>
      <c r="J394" s="43">
        <v>43819</v>
      </c>
      <c r="K394" s="44">
        <v>0.5</v>
      </c>
      <c r="L394" s="47">
        <v>14.05</v>
      </c>
      <c r="M394" s="42">
        <v>-1.815828902</v>
      </c>
      <c r="N394" s="42">
        <f t="shared" si="17"/>
        <v>0.14050000000000001</v>
      </c>
      <c r="O394" s="42">
        <f t="shared" si="17"/>
        <v>-1.8158289019999999E-2</v>
      </c>
      <c r="Q394">
        <v>289</v>
      </c>
      <c r="R394" s="43">
        <v>43833</v>
      </c>
      <c r="S394" s="44">
        <v>0.5</v>
      </c>
      <c r="T394" s="45">
        <v>-72.5</v>
      </c>
      <c r="U394" s="42">
        <v>0.85</v>
      </c>
      <c r="V394" s="46">
        <f t="shared" si="18"/>
        <v>-0.72499999999999998</v>
      </c>
      <c r="W394" s="42">
        <f t="shared" si="18"/>
        <v>8.5000000000000006E-3</v>
      </c>
    </row>
    <row r="395" spans="1:23" x14ac:dyDescent="0.2">
      <c r="A395">
        <v>267</v>
      </c>
      <c r="B395" s="43">
        <v>43832</v>
      </c>
      <c r="C395" s="44">
        <v>0.5</v>
      </c>
      <c r="D395">
        <v>6.3920000000000003</v>
      </c>
      <c r="E395" s="42">
        <v>-1.4657031900000064</v>
      </c>
      <c r="F395" s="42">
        <f t="shared" ref="F395:G413" si="19">D395/100</f>
        <v>6.3920000000000005E-2</v>
      </c>
      <c r="G395" s="42">
        <f t="shared" si="19"/>
        <v>-1.4657031900000063E-2</v>
      </c>
      <c r="I395">
        <v>270</v>
      </c>
      <c r="J395" s="43">
        <v>43820</v>
      </c>
      <c r="K395" s="44">
        <v>0.5</v>
      </c>
      <c r="L395" s="47">
        <v>14.05</v>
      </c>
      <c r="M395" s="42">
        <v>-1.803507025</v>
      </c>
      <c r="N395" s="42">
        <f t="shared" si="17"/>
        <v>0.14050000000000001</v>
      </c>
      <c r="O395" s="42">
        <f t="shared" si="17"/>
        <v>-1.803507025E-2</v>
      </c>
      <c r="Q395">
        <v>290</v>
      </c>
      <c r="R395" s="43">
        <v>43834</v>
      </c>
      <c r="S395" s="44">
        <v>0.5</v>
      </c>
      <c r="T395" s="45">
        <v>-75.7</v>
      </c>
      <c r="U395" s="42">
        <v>0.8</v>
      </c>
      <c r="V395" s="46">
        <f t="shared" si="18"/>
        <v>-0.75700000000000001</v>
      </c>
      <c r="W395" s="42">
        <f t="shared" si="18"/>
        <v>8.0000000000000002E-3</v>
      </c>
    </row>
    <row r="396" spans="1:23" x14ac:dyDescent="0.2">
      <c r="A396">
        <v>268</v>
      </c>
      <c r="B396" s="43">
        <v>43833</v>
      </c>
      <c r="C396" s="44">
        <v>0.5</v>
      </c>
      <c r="D396">
        <v>7.9669999999999996</v>
      </c>
      <c r="E396">
        <v>-1.4657031900000064</v>
      </c>
      <c r="F396" s="42">
        <f t="shared" si="19"/>
        <v>7.9669999999999991E-2</v>
      </c>
      <c r="G396" s="42">
        <f t="shared" si="19"/>
        <v>-1.4657031900000063E-2</v>
      </c>
      <c r="I396">
        <v>271</v>
      </c>
      <c r="J396" s="43">
        <v>43821</v>
      </c>
      <c r="K396" s="44">
        <v>0.5</v>
      </c>
      <c r="L396" s="47">
        <v>17.55</v>
      </c>
      <c r="M396" s="42">
        <v>-1.8535070250000001</v>
      </c>
      <c r="N396" s="42">
        <f t="shared" si="17"/>
        <v>0.17550000000000002</v>
      </c>
      <c r="O396" s="42">
        <f t="shared" si="17"/>
        <v>-1.8535070250000001E-2</v>
      </c>
      <c r="Q396">
        <v>291</v>
      </c>
      <c r="R396" s="43">
        <v>43835</v>
      </c>
      <c r="S396" s="44">
        <v>0.5</v>
      </c>
      <c r="T396" s="45">
        <v>-78.600000000000009</v>
      </c>
      <c r="U396" s="42">
        <v>0.7</v>
      </c>
      <c r="V396" s="46">
        <f t="shared" si="18"/>
        <v>-0.78600000000000003</v>
      </c>
      <c r="W396" s="42">
        <f t="shared" si="18"/>
        <v>6.9999999999999993E-3</v>
      </c>
    </row>
    <row r="397" spans="1:23" x14ac:dyDescent="0.2">
      <c r="A397">
        <v>269</v>
      </c>
      <c r="B397" s="43">
        <v>43834</v>
      </c>
      <c r="C397" s="44">
        <v>0.5</v>
      </c>
      <c r="D397">
        <v>7.5579999999999998</v>
      </c>
      <c r="E397">
        <v>-1.4657031900000064</v>
      </c>
      <c r="F397" s="42">
        <f t="shared" si="19"/>
        <v>7.5579999999999994E-2</v>
      </c>
      <c r="G397" s="42">
        <f t="shared" si="19"/>
        <v>-1.4657031900000063E-2</v>
      </c>
      <c r="I397">
        <v>272</v>
      </c>
      <c r="J397" s="43">
        <v>43822</v>
      </c>
      <c r="K397" s="44">
        <v>0.5</v>
      </c>
      <c r="L397" s="47">
        <v>15.8</v>
      </c>
      <c r="M397" s="42">
        <v>-1.703507025</v>
      </c>
      <c r="N397" s="42">
        <f t="shared" si="17"/>
        <v>0.158</v>
      </c>
      <c r="O397" s="42">
        <f t="shared" si="17"/>
        <v>-1.7035070249999999E-2</v>
      </c>
      <c r="Q397">
        <v>292</v>
      </c>
      <c r="R397" s="43">
        <v>43836</v>
      </c>
      <c r="S397" s="44">
        <v>0.5</v>
      </c>
      <c r="T397" s="45">
        <v>-73.2</v>
      </c>
      <c r="U397" s="42">
        <v>0.65</v>
      </c>
      <c r="V397" s="46">
        <f t="shared" si="18"/>
        <v>-0.73199999999999998</v>
      </c>
      <c r="W397" s="42">
        <f t="shared" si="18"/>
        <v>6.5000000000000006E-3</v>
      </c>
    </row>
    <row r="398" spans="1:23" x14ac:dyDescent="0.2">
      <c r="A398">
        <v>270</v>
      </c>
      <c r="B398" s="43">
        <v>43835</v>
      </c>
      <c r="C398" s="44">
        <v>0.5</v>
      </c>
      <c r="D398">
        <v>6.9169999999999998</v>
      </c>
      <c r="E398">
        <v>-1.4157031900000021</v>
      </c>
      <c r="F398" s="42">
        <f t="shared" si="19"/>
        <v>6.9169999999999995E-2</v>
      </c>
      <c r="G398" s="42">
        <f t="shared" si="19"/>
        <v>-1.4157031900000021E-2</v>
      </c>
      <c r="I398">
        <v>273</v>
      </c>
      <c r="J398" s="43">
        <v>43823</v>
      </c>
      <c r="K398" s="44">
        <v>0.5</v>
      </c>
      <c r="L398" s="47">
        <v>14.867000000000001</v>
      </c>
      <c r="M398" s="42">
        <v>-1.803507025</v>
      </c>
      <c r="N398" s="42">
        <f t="shared" ref="N398:O425" si="20">L398/100</f>
        <v>0.14867</v>
      </c>
      <c r="O398" s="42">
        <f t="shared" si="20"/>
        <v>-1.803507025E-2</v>
      </c>
      <c r="Q398">
        <v>293</v>
      </c>
      <c r="R398" s="43">
        <v>43837</v>
      </c>
      <c r="S398" s="44">
        <v>0.5</v>
      </c>
      <c r="T398" s="45">
        <v>-69.899999999999991</v>
      </c>
      <c r="U398" s="42">
        <v>0.9</v>
      </c>
      <c r="V398" s="46">
        <f t="shared" si="18"/>
        <v>-0.69899999999999995</v>
      </c>
      <c r="W398" s="42">
        <f t="shared" si="18"/>
        <v>9.0000000000000011E-3</v>
      </c>
    </row>
    <row r="399" spans="1:23" x14ac:dyDescent="0.2">
      <c r="A399">
        <v>271</v>
      </c>
      <c r="B399" s="43">
        <v>43836</v>
      </c>
      <c r="C399" s="44">
        <v>0.5</v>
      </c>
      <c r="D399">
        <v>5.1079999999999997</v>
      </c>
      <c r="E399">
        <v>-1.4157031900000021</v>
      </c>
      <c r="F399" s="42">
        <f t="shared" si="19"/>
        <v>5.1079999999999993E-2</v>
      </c>
      <c r="G399" s="42">
        <f t="shared" si="19"/>
        <v>-1.4157031900000021E-2</v>
      </c>
      <c r="I399">
        <v>274</v>
      </c>
      <c r="J399" s="43">
        <v>43824</v>
      </c>
      <c r="K399" s="44">
        <v>0.5</v>
      </c>
      <c r="L399" s="47">
        <v>14.282999999999999</v>
      </c>
      <c r="M399" s="42">
        <v>-1.803507025</v>
      </c>
      <c r="N399" s="42">
        <f t="shared" si="20"/>
        <v>0.14282999999999998</v>
      </c>
      <c r="O399" s="42">
        <f t="shared" si="20"/>
        <v>-1.803507025E-2</v>
      </c>
      <c r="Q399">
        <v>294</v>
      </c>
      <c r="R399" s="43">
        <v>43838</v>
      </c>
      <c r="S399" s="44">
        <v>0.5</v>
      </c>
      <c r="T399" s="45">
        <v>-73.599999999999994</v>
      </c>
      <c r="U399" s="42">
        <v>0.85</v>
      </c>
      <c r="V399" s="46">
        <f t="shared" si="18"/>
        <v>-0.73599999999999999</v>
      </c>
      <c r="W399" s="42">
        <f t="shared" si="18"/>
        <v>8.5000000000000006E-3</v>
      </c>
    </row>
    <row r="400" spans="1:23" x14ac:dyDescent="0.2">
      <c r="A400">
        <v>272</v>
      </c>
      <c r="B400" s="43">
        <v>43837</v>
      </c>
      <c r="C400" s="44">
        <v>0.5</v>
      </c>
      <c r="D400">
        <v>3.7669999999999999</v>
      </c>
      <c r="E400">
        <v>-1.4657031900000064</v>
      </c>
      <c r="F400" s="42">
        <f t="shared" si="19"/>
        <v>3.7670000000000002E-2</v>
      </c>
      <c r="G400" s="42">
        <f t="shared" si="19"/>
        <v>-1.4657031900000063E-2</v>
      </c>
      <c r="I400">
        <v>275</v>
      </c>
      <c r="J400" s="43">
        <v>43825</v>
      </c>
      <c r="K400" s="44">
        <v>0.5</v>
      </c>
      <c r="L400" s="47">
        <v>15.042</v>
      </c>
      <c r="M400" s="42">
        <v>-1.8535070250000001</v>
      </c>
      <c r="N400" s="42">
        <f t="shared" si="20"/>
        <v>0.15042</v>
      </c>
      <c r="O400" s="42">
        <f t="shared" si="20"/>
        <v>-1.8535070250000001E-2</v>
      </c>
      <c r="Q400">
        <v>295</v>
      </c>
      <c r="R400" s="43">
        <v>43839</v>
      </c>
      <c r="S400" s="44">
        <v>0.5</v>
      </c>
      <c r="T400" s="45">
        <v>-70.599999999999994</v>
      </c>
      <c r="U400" s="42">
        <v>0.8</v>
      </c>
      <c r="V400" s="46">
        <f t="shared" si="18"/>
        <v>-0.70599999999999996</v>
      </c>
      <c r="W400" s="42">
        <f t="shared" si="18"/>
        <v>8.0000000000000002E-3</v>
      </c>
    </row>
    <row r="401" spans="1:23" x14ac:dyDescent="0.2">
      <c r="A401">
        <v>273</v>
      </c>
      <c r="B401" s="43">
        <v>43838</v>
      </c>
      <c r="C401" s="44">
        <v>0.5</v>
      </c>
      <c r="D401">
        <v>2.7749999999999999</v>
      </c>
      <c r="E401">
        <v>-1.4657031900000064</v>
      </c>
      <c r="F401" s="42">
        <f t="shared" si="19"/>
        <v>2.775E-2</v>
      </c>
      <c r="G401" s="42">
        <f t="shared" si="19"/>
        <v>-1.4657031900000063E-2</v>
      </c>
      <c r="I401">
        <v>276</v>
      </c>
      <c r="J401" s="43">
        <v>43826</v>
      </c>
      <c r="K401" s="44">
        <v>0.5</v>
      </c>
      <c r="L401" s="47">
        <v>13.875</v>
      </c>
      <c r="M401" s="42">
        <v>-1.803507025</v>
      </c>
      <c r="N401" s="42">
        <f t="shared" si="20"/>
        <v>0.13875000000000001</v>
      </c>
      <c r="O401" s="42">
        <f t="shared" si="20"/>
        <v>-1.803507025E-2</v>
      </c>
      <c r="Q401">
        <v>296</v>
      </c>
      <c r="R401" s="43">
        <v>43840</v>
      </c>
      <c r="S401" s="44">
        <v>0.5</v>
      </c>
      <c r="T401" s="45">
        <v>-74</v>
      </c>
      <c r="U401" s="42">
        <v>0.85</v>
      </c>
      <c r="V401" s="46">
        <f t="shared" si="18"/>
        <v>-0.74</v>
      </c>
      <c r="W401" s="42">
        <f t="shared" si="18"/>
        <v>8.5000000000000006E-3</v>
      </c>
    </row>
    <row r="402" spans="1:23" x14ac:dyDescent="0.2">
      <c r="A402">
        <v>274</v>
      </c>
      <c r="B402" s="43">
        <v>43839</v>
      </c>
      <c r="C402" s="44">
        <v>0.5</v>
      </c>
      <c r="D402">
        <v>0.79200000000000004</v>
      </c>
      <c r="E402">
        <v>-1.4657031900000064</v>
      </c>
      <c r="F402" s="42">
        <f t="shared" si="19"/>
        <v>7.92E-3</v>
      </c>
      <c r="G402" s="42">
        <f t="shared" si="19"/>
        <v>-1.4657031900000063E-2</v>
      </c>
      <c r="I402">
        <v>277</v>
      </c>
      <c r="J402" s="43">
        <v>43827</v>
      </c>
      <c r="K402" s="44">
        <v>0.5</v>
      </c>
      <c r="L402" s="47">
        <v>13</v>
      </c>
      <c r="M402" s="42">
        <v>-1.8535070250000001</v>
      </c>
      <c r="N402" s="42">
        <f t="shared" si="20"/>
        <v>0.13</v>
      </c>
      <c r="O402" s="42">
        <f t="shared" si="20"/>
        <v>-1.8535070250000001E-2</v>
      </c>
      <c r="Q402">
        <v>297</v>
      </c>
      <c r="R402" s="43">
        <v>43841</v>
      </c>
      <c r="S402" s="44">
        <v>0.5</v>
      </c>
      <c r="T402" s="45">
        <v>-76.900000000000006</v>
      </c>
      <c r="U402" s="42">
        <v>0.75</v>
      </c>
      <c r="V402" s="46">
        <f t="shared" si="18"/>
        <v>-0.76900000000000002</v>
      </c>
      <c r="W402" s="42">
        <f t="shared" si="18"/>
        <v>7.4999999999999997E-3</v>
      </c>
    </row>
    <row r="403" spans="1:23" x14ac:dyDescent="0.2">
      <c r="A403">
        <v>275</v>
      </c>
      <c r="B403" s="43">
        <v>43840</v>
      </c>
      <c r="C403" s="44">
        <v>0.5</v>
      </c>
      <c r="D403">
        <v>0.32500000000000001</v>
      </c>
      <c r="E403">
        <v>-1.4657031900000064</v>
      </c>
      <c r="F403" s="42">
        <f t="shared" si="19"/>
        <v>3.2500000000000003E-3</v>
      </c>
      <c r="G403" s="42">
        <f t="shared" si="19"/>
        <v>-1.4657031900000063E-2</v>
      </c>
      <c r="I403">
        <v>278</v>
      </c>
      <c r="J403" s="43">
        <v>43828</v>
      </c>
      <c r="K403" s="44">
        <v>0.5</v>
      </c>
      <c r="L403" s="47">
        <v>11.657999999999999</v>
      </c>
      <c r="M403" s="42">
        <v>-1.8535070250000001</v>
      </c>
      <c r="N403" s="42">
        <f t="shared" si="20"/>
        <v>0.11657999999999999</v>
      </c>
      <c r="O403" s="42">
        <f t="shared" si="20"/>
        <v>-1.8535070250000001E-2</v>
      </c>
      <c r="Q403">
        <v>298</v>
      </c>
      <c r="R403" s="43">
        <v>43842</v>
      </c>
      <c r="S403" s="44">
        <v>0.5</v>
      </c>
      <c r="T403" s="45">
        <v>-79.5</v>
      </c>
      <c r="U403" s="42">
        <v>0.7</v>
      </c>
      <c r="V403" s="46">
        <f t="shared" si="18"/>
        <v>-0.79500000000000004</v>
      </c>
      <c r="W403" s="42">
        <f t="shared" si="18"/>
        <v>6.9999999999999993E-3</v>
      </c>
    </row>
    <row r="404" spans="1:23" x14ac:dyDescent="0.2">
      <c r="A404">
        <v>276</v>
      </c>
      <c r="B404" s="43">
        <v>43841</v>
      </c>
      <c r="C404" s="44">
        <v>0.5</v>
      </c>
      <c r="D404">
        <v>4.2329999999999997</v>
      </c>
      <c r="E404">
        <v>-1.4657031900000064</v>
      </c>
      <c r="F404" s="42">
        <f t="shared" si="19"/>
        <v>4.233E-2</v>
      </c>
      <c r="G404" s="42">
        <f t="shared" si="19"/>
        <v>-1.4657031900000063E-2</v>
      </c>
      <c r="I404">
        <v>279</v>
      </c>
      <c r="J404" s="43">
        <v>43829</v>
      </c>
      <c r="K404" s="44">
        <v>0.5</v>
      </c>
      <c r="L404" s="47">
        <v>10.9</v>
      </c>
      <c r="M404" s="42">
        <v>-1.9035070249999999</v>
      </c>
      <c r="N404" s="42">
        <f t="shared" si="20"/>
        <v>0.109</v>
      </c>
      <c r="O404" s="42">
        <f t="shared" si="20"/>
        <v>-1.9035070249999998E-2</v>
      </c>
      <c r="Q404">
        <v>299</v>
      </c>
      <c r="R404" s="43">
        <v>43843</v>
      </c>
      <c r="S404" s="44">
        <v>0.5</v>
      </c>
      <c r="T404" s="45">
        <v>-82</v>
      </c>
      <c r="U404" s="42">
        <v>0.65</v>
      </c>
      <c r="V404" s="46">
        <f t="shared" si="18"/>
        <v>-0.82</v>
      </c>
      <c r="W404" s="42">
        <f t="shared" si="18"/>
        <v>6.5000000000000006E-3</v>
      </c>
    </row>
    <row r="405" spans="1:23" x14ac:dyDescent="0.2">
      <c r="A405">
        <v>277</v>
      </c>
      <c r="B405" s="43">
        <v>43842</v>
      </c>
      <c r="C405" s="44">
        <v>0.5</v>
      </c>
      <c r="D405">
        <v>2.367</v>
      </c>
      <c r="E405">
        <v>-1.4657031900000064</v>
      </c>
      <c r="F405" s="42">
        <f t="shared" si="19"/>
        <v>2.367E-2</v>
      </c>
      <c r="G405" s="42">
        <f t="shared" si="19"/>
        <v>-1.4657031900000063E-2</v>
      </c>
      <c r="I405">
        <v>280</v>
      </c>
      <c r="J405" s="43">
        <v>43830</v>
      </c>
      <c r="K405" s="44">
        <v>0.5</v>
      </c>
      <c r="L405" s="47">
        <v>9.9670000000000005</v>
      </c>
      <c r="M405" s="42">
        <v>-1.953507025</v>
      </c>
      <c r="N405" s="42">
        <f t="shared" si="20"/>
        <v>9.9670000000000009E-2</v>
      </c>
      <c r="O405" s="42">
        <f t="shared" si="20"/>
        <v>-1.9535070249999998E-2</v>
      </c>
      <c r="Q405">
        <v>300</v>
      </c>
      <c r="R405" s="43">
        <v>43844</v>
      </c>
      <c r="S405" s="44">
        <v>0.5</v>
      </c>
      <c r="T405" s="45">
        <v>-83.899999999999991</v>
      </c>
      <c r="U405" s="42">
        <v>0.6</v>
      </c>
      <c r="V405" s="46">
        <f t="shared" si="18"/>
        <v>-0.83899999999999997</v>
      </c>
      <c r="W405" s="42">
        <f t="shared" si="18"/>
        <v>6.0000000000000001E-3</v>
      </c>
    </row>
    <row r="406" spans="1:23" x14ac:dyDescent="0.2">
      <c r="A406">
        <v>278</v>
      </c>
      <c r="B406" s="43">
        <v>43843</v>
      </c>
      <c r="C406" s="44">
        <v>0.5</v>
      </c>
      <c r="D406">
        <v>9.6</v>
      </c>
      <c r="E406">
        <v>-1.4657031900000064</v>
      </c>
      <c r="F406" s="42">
        <f t="shared" si="19"/>
        <v>9.6000000000000002E-2</v>
      </c>
      <c r="G406" s="42">
        <f t="shared" si="19"/>
        <v>-1.4657031900000063E-2</v>
      </c>
      <c r="I406">
        <v>281</v>
      </c>
      <c r="J406" s="43">
        <v>43831</v>
      </c>
      <c r="K406" s="44">
        <v>0.5</v>
      </c>
      <c r="L406" s="47">
        <v>9.0920000000000005</v>
      </c>
      <c r="M406" s="42">
        <v>-2.0035070250000002</v>
      </c>
      <c r="N406" s="42">
        <f t="shared" si="20"/>
        <v>9.0920000000000001E-2</v>
      </c>
      <c r="O406" s="42">
        <f t="shared" si="20"/>
        <v>-2.0035070250000002E-2</v>
      </c>
      <c r="Q406">
        <v>301</v>
      </c>
      <c r="R406" s="43">
        <v>43845</v>
      </c>
      <c r="S406" s="44">
        <v>0.5</v>
      </c>
      <c r="T406" s="45">
        <v>-86.3</v>
      </c>
      <c r="U406" s="42">
        <v>0.55000000000000004</v>
      </c>
      <c r="V406" s="46">
        <f t="shared" si="18"/>
        <v>-0.86299999999999999</v>
      </c>
      <c r="W406" s="42">
        <f t="shared" si="18"/>
        <v>5.5000000000000005E-3</v>
      </c>
    </row>
    <row r="407" spans="1:23" x14ac:dyDescent="0.2">
      <c r="A407">
        <v>279</v>
      </c>
      <c r="B407" s="43">
        <v>43844</v>
      </c>
      <c r="C407" s="44">
        <v>0.5</v>
      </c>
      <c r="D407">
        <v>7.383</v>
      </c>
      <c r="E407">
        <v>-1.5657031900000007</v>
      </c>
      <c r="F407" s="42">
        <f t="shared" si="19"/>
        <v>7.3830000000000007E-2</v>
      </c>
      <c r="G407" s="42">
        <f t="shared" si="19"/>
        <v>-1.5657031900000007E-2</v>
      </c>
      <c r="I407">
        <v>282</v>
      </c>
      <c r="J407" s="43">
        <v>43832</v>
      </c>
      <c r="K407" s="44">
        <v>0.5</v>
      </c>
      <c r="L407" s="47">
        <v>8.8580000000000005</v>
      </c>
      <c r="M407" s="42">
        <v>-2.053507025</v>
      </c>
      <c r="N407" s="42">
        <f t="shared" si="20"/>
        <v>8.8580000000000006E-2</v>
      </c>
      <c r="O407" s="42">
        <f t="shared" si="20"/>
        <v>-2.0535070249999999E-2</v>
      </c>
      <c r="Q407">
        <v>302</v>
      </c>
      <c r="R407" s="43">
        <v>43846</v>
      </c>
      <c r="S407" s="44">
        <v>0.5</v>
      </c>
      <c r="T407" s="45">
        <v>-88.9</v>
      </c>
      <c r="U407" s="42">
        <v>0.5</v>
      </c>
      <c r="V407" s="46">
        <f t="shared" si="18"/>
        <v>-0.88900000000000001</v>
      </c>
      <c r="W407" s="42">
        <f t="shared" si="18"/>
        <v>5.0000000000000001E-3</v>
      </c>
    </row>
    <row r="408" spans="1:23" x14ac:dyDescent="0.2">
      <c r="A408">
        <v>280</v>
      </c>
      <c r="B408" s="43">
        <v>43845</v>
      </c>
      <c r="C408" s="44">
        <v>0.5</v>
      </c>
      <c r="D408">
        <v>5.9249999999999998</v>
      </c>
      <c r="E408">
        <v>-1.4657031900000064</v>
      </c>
      <c r="F408" s="42">
        <f t="shared" si="19"/>
        <v>5.9249999999999997E-2</v>
      </c>
      <c r="G408" s="42">
        <f t="shared" si="19"/>
        <v>-1.4657031900000063E-2</v>
      </c>
      <c r="I408">
        <v>283</v>
      </c>
      <c r="J408" s="43">
        <v>43833</v>
      </c>
      <c r="K408" s="44">
        <v>0.5</v>
      </c>
      <c r="L408" s="47">
        <v>8.3330000000000002</v>
      </c>
      <c r="M408" s="42">
        <v>-2.053507025</v>
      </c>
      <c r="N408" s="42">
        <f t="shared" si="20"/>
        <v>8.3330000000000001E-2</v>
      </c>
      <c r="O408" s="42">
        <f t="shared" si="20"/>
        <v>-2.0535070249999999E-2</v>
      </c>
      <c r="Q408">
        <v>303</v>
      </c>
      <c r="R408" s="43">
        <v>43847</v>
      </c>
      <c r="S408" s="44">
        <v>0.5</v>
      </c>
      <c r="T408" s="45">
        <v>-91.100000000000009</v>
      </c>
      <c r="U408" s="42">
        <v>0.45</v>
      </c>
      <c r="V408" s="46">
        <f t="shared" si="18"/>
        <v>-0.91100000000000003</v>
      </c>
      <c r="W408" s="42">
        <f t="shared" si="18"/>
        <v>4.5000000000000005E-3</v>
      </c>
    </row>
    <row r="409" spans="1:23" x14ac:dyDescent="0.2">
      <c r="A409">
        <v>281</v>
      </c>
      <c r="B409" s="43">
        <v>43846</v>
      </c>
      <c r="C409" s="44">
        <v>0.5</v>
      </c>
      <c r="D409">
        <v>4.875</v>
      </c>
      <c r="E409">
        <v>-1.4657031900000064</v>
      </c>
      <c r="F409" s="42">
        <f t="shared" si="19"/>
        <v>4.8750000000000002E-2</v>
      </c>
      <c r="G409" s="42">
        <f t="shared" si="19"/>
        <v>-1.4657031900000063E-2</v>
      </c>
      <c r="I409">
        <v>284</v>
      </c>
      <c r="J409" s="43">
        <v>43834</v>
      </c>
      <c r="K409" s="44">
        <v>0.5</v>
      </c>
      <c r="L409" s="47">
        <v>9.15</v>
      </c>
      <c r="M409" s="42">
        <v>-2.0035070250000002</v>
      </c>
      <c r="N409" s="42">
        <f t="shared" si="20"/>
        <v>9.1499999999999998E-2</v>
      </c>
      <c r="O409" s="42">
        <f t="shared" si="20"/>
        <v>-2.0035070250000002E-2</v>
      </c>
      <c r="Q409">
        <v>304</v>
      </c>
      <c r="R409" s="43">
        <v>43848</v>
      </c>
      <c r="S409" s="44">
        <v>0.5</v>
      </c>
      <c r="T409" s="45">
        <v>-92.7</v>
      </c>
      <c r="U409" s="42">
        <v>0.4</v>
      </c>
      <c r="V409" s="46">
        <f t="shared" si="18"/>
        <v>-0.92700000000000005</v>
      </c>
      <c r="W409" s="42">
        <f t="shared" si="18"/>
        <v>4.0000000000000001E-3</v>
      </c>
    </row>
    <row r="410" spans="1:23" x14ac:dyDescent="0.2">
      <c r="A410">
        <v>282</v>
      </c>
      <c r="B410" s="43">
        <v>43847</v>
      </c>
      <c r="C410" s="44">
        <v>0.5</v>
      </c>
      <c r="D410">
        <v>2.95</v>
      </c>
      <c r="E410">
        <v>-1.5157031900000035</v>
      </c>
      <c r="F410" s="42">
        <f t="shared" si="19"/>
        <v>2.9500000000000002E-2</v>
      </c>
      <c r="G410" s="42">
        <f t="shared" si="19"/>
        <v>-1.5157031900000036E-2</v>
      </c>
      <c r="I410">
        <v>285</v>
      </c>
      <c r="J410" s="43">
        <v>43835</v>
      </c>
      <c r="K410" s="44">
        <v>0.5</v>
      </c>
      <c r="L410" s="47">
        <v>8.1579999999999995</v>
      </c>
      <c r="M410" s="42">
        <v>-2.053507025</v>
      </c>
      <c r="N410" s="42">
        <f t="shared" si="20"/>
        <v>8.158E-2</v>
      </c>
      <c r="O410" s="42">
        <f t="shared" si="20"/>
        <v>-2.0535070249999999E-2</v>
      </c>
      <c r="Q410">
        <v>305</v>
      </c>
      <c r="R410" s="43">
        <v>43849</v>
      </c>
      <c r="S410" s="44">
        <v>0.5</v>
      </c>
      <c r="T410" s="45">
        <v>-78.900000000000006</v>
      </c>
      <c r="U410" s="42">
        <v>0.8</v>
      </c>
      <c r="V410" s="46">
        <f t="shared" si="18"/>
        <v>-0.78900000000000003</v>
      </c>
      <c r="W410" s="42">
        <f t="shared" si="18"/>
        <v>8.0000000000000002E-3</v>
      </c>
    </row>
    <row r="411" spans="1:23" x14ac:dyDescent="0.2">
      <c r="A411">
        <v>283</v>
      </c>
      <c r="B411" s="43">
        <v>43848</v>
      </c>
      <c r="C411" s="44">
        <v>0.5</v>
      </c>
      <c r="D411">
        <v>1.667</v>
      </c>
      <c r="E411">
        <v>-1.5157031900000035</v>
      </c>
      <c r="F411" s="42">
        <f t="shared" si="19"/>
        <v>1.6670000000000001E-2</v>
      </c>
      <c r="G411" s="42">
        <f t="shared" si="19"/>
        <v>-1.5157031900000036E-2</v>
      </c>
      <c r="I411">
        <v>286</v>
      </c>
      <c r="J411" s="43">
        <v>43836</v>
      </c>
      <c r="K411" s="44">
        <v>0.5</v>
      </c>
      <c r="L411" s="47">
        <v>8.2750000000000004</v>
      </c>
      <c r="M411" s="42">
        <v>-2.053507025</v>
      </c>
      <c r="N411" s="42">
        <f t="shared" si="20"/>
        <v>8.2750000000000004E-2</v>
      </c>
      <c r="O411" s="42">
        <f t="shared" si="20"/>
        <v>-2.0535070249999999E-2</v>
      </c>
      <c r="Q411">
        <v>306</v>
      </c>
      <c r="R411" s="43">
        <v>43850</v>
      </c>
      <c r="S411" s="44">
        <v>0.5</v>
      </c>
      <c r="T411" s="45">
        <v>-82.5</v>
      </c>
      <c r="U411" s="42">
        <v>0.65</v>
      </c>
      <c r="V411" s="46">
        <f t="shared" si="18"/>
        <v>-0.82499999999999996</v>
      </c>
      <c r="W411" s="42">
        <f t="shared" si="18"/>
        <v>6.5000000000000006E-3</v>
      </c>
    </row>
    <row r="412" spans="1:23" x14ac:dyDescent="0.2">
      <c r="A412">
        <v>284</v>
      </c>
      <c r="B412" s="43">
        <v>43849</v>
      </c>
      <c r="C412" s="44">
        <v>0.5</v>
      </c>
      <c r="D412">
        <v>12.4</v>
      </c>
      <c r="E412">
        <v>-1.4157031900000021</v>
      </c>
      <c r="F412" s="42">
        <f t="shared" si="19"/>
        <v>0.124</v>
      </c>
      <c r="G412" s="42">
        <f t="shared" si="19"/>
        <v>-1.4157031900000021E-2</v>
      </c>
      <c r="I412">
        <v>287</v>
      </c>
      <c r="J412" s="43">
        <v>43837</v>
      </c>
      <c r="K412" s="44">
        <v>0.5</v>
      </c>
      <c r="L412" s="47">
        <v>7.1669999999999998</v>
      </c>
      <c r="M412" s="42">
        <v>-2.1035070249999999</v>
      </c>
      <c r="N412" s="42">
        <f t="shared" si="20"/>
        <v>7.1669999999999998E-2</v>
      </c>
      <c r="O412" s="42">
        <f t="shared" si="20"/>
        <v>-2.1035070249999999E-2</v>
      </c>
      <c r="Q412">
        <v>307</v>
      </c>
      <c r="R412" s="43">
        <v>43851</v>
      </c>
      <c r="S412" s="44">
        <v>0.5</v>
      </c>
      <c r="T412" s="45">
        <v>-80.7</v>
      </c>
      <c r="U412" s="42">
        <v>0.6</v>
      </c>
      <c r="V412" s="46">
        <f t="shared" si="18"/>
        <v>-0.80700000000000005</v>
      </c>
      <c r="W412" s="42">
        <f t="shared" si="18"/>
        <v>6.0000000000000001E-3</v>
      </c>
    </row>
    <row r="413" spans="1:23" x14ac:dyDescent="0.2">
      <c r="A413">
        <v>285</v>
      </c>
      <c r="B413" s="43">
        <v>43850</v>
      </c>
      <c r="C413" s="44">
        <v>0.375</v>
      </c>
      <c r="D413">
        <v>8.4920000000000009</v>
      </c>
      <c r="E413">
        <v>-1.4157031900000021</v>
      </c>
      <c r="F413" s="42">
        <f t="shared" si="19"/>
        <v>8.4920000000000009E-2</v>
      </c>
      <c r="G413" s="42">
        <f t="shared" si="19"/>
        <v>-1.4157031900000021E-2</v>
      </c>
      <c r="I413">
        <v>288</v>
      </c>
      <c r="J413" s="43">
        <v>43838</v>
      </c>
      <c r="K413" s="44">
        <v>0.5</v>
      </c>
      <c r="L413" s="47">
        <v>6.5250000000000004</v>
      </c>
      <c r="M413" s="42">
        <v>-2.1035070249999999</v>
      </c>
      <c r="N413" s="42">
        <f t="shared" si="20"/>
        <v>6.5250000000000002E-2</v>
      </c>
      <c r="O413" s="42">
        <f t="shared" si="20"/>
        <v>-2.1035070249999999E-2</v>
      </c>
      <c r="Q413">
        <v>308</v>
      </c>
      <c r="R413" s="43">
        <v>43852</v>
      </c>
      <c r="S413" s="44">
        <v>0.25</v>
      </c>
      <c r="T413" s="45">
        <v>-77.5</v>
      </c>
      <c r="U413" s="42">
        <v>0.7</v>
      </c>
      <c r="V413" s="46">
        <f t="shared" si="18"/>
        <v>-0.77500000000000002</v>
      </c>
      <c r="W413" s="42">
        <f t="shared" si="18"/>
        <v>6.9999999999999993E-3</v>
      </c>
    </row>
    <row r="414" spans="1:23" x14ac:dyDescent="0.2">
      <c r="A414">
        <v>286</v>
      </c>
      <c r="I414">
        <v>289</v>
      </c>
      <c r="J414" s="43">
        <v>43839</v>
      </c>
      <c r="K414" s="44">
        <v>0.5</v>
      </c>
      <c r="L414" s="47">
        <v>5.242</v>
      </c>
      <c r="M414" s="42">
        <v>-2.203507025</v>
      </c>
      <c r="N414" s="42">
        <f t="shared" si="20"/>
        <v>5.2420000000000001E-2</v>
      </c>
      <c r="O414" s="42">
        <f t="shared" si="20"/>
        <v>-2.203507025E-2</v>
      </c>
      <c r="S414" s="45"/>
    </row>
    <row r="415" spans="1:23" x14ac:dyDescent="0.2">
      <c r="A415">
        <v>287</v>
      </c>
      <c r="I415">
        <v>290</v>
      </c>
      <c r="J415" s="43">
        <v>43840</v>
      </c>
      <c r="K415" s="44">
        <v>0.5</v>
      </c>
      <c r="L415" s="47">
        <v>4.8920000000000003</v>
      </c>
      <c r="M415" s="42">
        <v>-2.2535070250000002</v>
      </c>
      <c r="N415" s="42">
        <f t="shared" si="20"/>
        <v>4.8920000000000005E-2</v>
      </c>
      <c r="O415" s="42">
        <f t="shared" si="20"/>
        <v>-2.2535070250000001E-2</v>
      </c>
    </row>
    <row r="416" spans="1:23" x14ac:dyDescent="0.2">
      <c r="A416">
        <v>288</v>
      </c>
      <c r="I416">
        <v>291</v>
      </c>
      <c r="J416" s="43">
        <v>43841</v>
      </c>
      <c r="K416" s="44">
        <v>0.5</v>
      </c>
      <c r="L416" s="47">
        <v>7.867</v>
      </c>
      <c r="M416" s="42">
        <v>-2.1035070249999999</v>
      </c>
      <c r="N416" s="42">
        <f t="shared" si="20"/>
        <v>7.8670000000000004E-2</v>
      </c>
      <c r="O416" s="42">
        <f t="shared" si="20"/>
        <v>-2.1035070249999999E-2</v>
      </c>
    </row>
    <row r="417" spans="1:15" x14ac:dyDescent="0.2">
      <c r="A417">
        <v>289</v>
      </c>
      <c r="I417">
        <v>292</v>
      </c>
      <c r="J417" s="43">
        <v>43842</v>
      </c>
      <c r="K417" s="44">
        <v>0.5</v>
      </c>
      <c r="L417" s="47">
        <v>7.5170000000000003</v>
      </c>
      <c r="M417" s="42">
        <v>-2.1535070250000001</v>
      </c>
      <c r="N417" s="42">
        <f t="shared" si="20"/>
        <v>7.5170000000000001E-2</v>
      </c>
      <c r="O417" s="42">
        <f t="shared" si="20"/>
        <v>-2.153507025E-2</v>
      </c>
    </row>
    <row r="418" spans="1:15" x14ac:dyDescent="0.2">
      <c r="A418">
        <v>290</v>
      </c>
      <c r="I418">
        <v>293</v>
      </c>
      <c r="J418" s="43">
        <v>43843</v>
      </c>
      <c r="K418" s="44">
        <v>0.5</v>
      </c>
      <c r="L418" s="47">
        <v>6.1749999999999998</v>
      </c>
      <c r="M418" s="42">
        <v>-2.203507025</v>
      </c>
      <c r="N418" s="42">
        <f t="shared" si="20"/>
        <v>6.1749999999999999E-2</v>
      </c>
      <c r="O418" s="42">
        <f t="shared" si="20"/>
        <v>-2.203507025E-2</v>
      </c>
    </row>
    <row r="419" spans="1:15" x14ac:dyDescent="0.2">
      <c r="A419">
        <v>291</v>
      </c>
      <c r="I419">
        <v>294</v>
      </c>
      <c r="J419" s="43">
        <v>43844</v>
      </c>
      <c r="K419" s="44">
        <v>0.5</v>
      </c>
      <c r="L419" s="47">
        <v>5.5919999999999996</v>
      </c>
      <c r="M419" s="42">
        <v>-2.203507025</v>
      </c>
      <c r="N419" s="42">
        <f t="shared" si="20"/>
        <v>5.5919999999999997E-2</v>
      </c>
      <c r="O419" s="42">
        <f t="shared" si="20"/>
        <v>-2.203507025E-2</v>
      </c>
    </row>
    <row r="420" spans="1:15" x14ac:dyDescent="0.2">
      <c r="A420">
        <v>292</v>
      </c>
      <c r="I420">
        <v>295</v>
      </c>
      <c r="J420" s="43">
        <v>43845</v>
      </c>
      <c r="K420" s="44">
        <v>0.5</v>
      </c>
      <c r="L420" s="47">
        <v>3.7250000000000001</v>
      </c>
      <c r="M420" s="42">
        <v>-2.2535070250000002</v>
      </c>
      <c r="N420" s="42">
        <f t="shared" si="20"/>
        <v>3.7249999999999998E-2</v>
      </c>
      <c r="O420" s="42">
        <f t="shared" si="20"/>
        <v>-2.2535070250000001E-2</v>
      </c>
    </row>
    <row r="421" spans="1:15" x14ac:dyDescent="0.2">
      <c r="A421">
        <v>293</v>
      </c>
      <c r="I421">
        <v>296</v>
      </c>
      <c r="J421" s="43">
        <v>43846</v>
      </c>
      <c r="K421" s="44">
        <v>0.5</v>
      </c>
      <c r="L421" s="47">
        <v>7.5750000000000002</v>
      </c>
      <c r="M421" s="42">
        <v>-2.303507025</v>
      </c>
      <c r="N421" s="42">
        <f t="shared" si="20"/>
        <v>7.5749999999999998E-2</v>
      </c>
      <c r="O421" s="42">
        <f t="shared" si="20"/>
        <v>-2.3035070250000001E-2</v>
      </c>
    </row>
    <row r="422" spans="1:15" x14ac:dyDescent="0.2">
      <c r="A422">
        <v>294</v>
      </c>
      <c r="I422">
        <v>297</v>
      </c>
      <c r="J422" s="43">
        <v>43847</v>
      </c>
      <c r="K422" s="44">
        <v>0.5</v>
      </c>
      <c r="L422" s="47">
        <v>12.125</v>
      </c>
      <c r="M422" s="42">
        <v>-2.2535070250000002</v>
      </c>
      <c r="N422" s="42">
        <f t="shared" si="20"/>
        <v>0.12125</v>
      </c>
      <c r="O422" s="42">
        <f t="shared" si="20"/>
        <v>-2.2535070250000001E-2</v>
      </c>
    </row>
    <row r="423" spans="1:15" x14ac:dyDescent="0.2">
      <c r="A423">
        <v>295</v>
      </c>
      <c r="I423">
        <v>298</v>
      </c>
      <c r="J423" s="43">
        <v>43848</v>
      </c>
      <c r="K423" s="44">
        <v>0.5</v>
      </c>
      <c r="L423" s="47">
        <v>9.7330000000000005</v>
      </c>
      <c r="M423" s="42">
        <v>-2.053507025</v>
      </c>
      <c r="N423" s="42">
        <f t="shared" si="20"/>
        <v>9.733E-2</v>
      </c>
      <c r="O423" s="42">
        <f t="shared" si="20"/>
        <v>-2.0535070249999999E-2</v>
      </c>
    </row>
    <row r="424" spans="1:15" x14ac:dyDescent="0.2">
      <c r="A424">
        <v>296</v>
      </c>
      <c r="I424">
        <v>299</v>
      </c>
      <c r="J424" s="43">
        <v>43849</v>
      </c>
      <c r="K424" s="44">
        <v>0.5</v>
      </c>
      <c r="L424" s="47">
        <v>11.833</v>
      </c>
      <c r="M424" s="42">
        <v>-2.0035070250000002</v>
      </c>
      <c r="N424" s="42">
        <f t="shared" si="20"/>
        <v>0.11833</v>
      </c>
      <c r="O424" s="42">
        <f t="shared" si="20"/>
        <v>-2.0035070250000002E-2</v>
      </c>
    </row>
    <row r="425" spans="1:15" x14ac:dyDescent="0.2">
      <c r="A425">
        <v>297</v>
      </c>
      <c r="I425">
        <v>300</v>
      </c>
      <c r="J425" s="43">
        <v>43850</v>
      </c>
      <c r="K425" s="44">
        <v>0.16666666666666666</v>
      </c>
      <c r="L425" s="47">
        <v>8.8000000000000007</v>
      </c>
      <c r="M425" s="42">
        <v>-1.753507025</v>
      </c>
      <c r="N425" s="42">
        <f t="shared" si="20"/>
        <v>8.8000000000000009E-2</v>
      </c>
      <c r="O425" s="42">
        <f t="shared" si="20"/>
        <v>-1.753507025E-2</v>
      </c>
    </row>
    <row r="426" spans="1:15" x14ac:dyDescent="0.2">
      <c r="A426">
        <v>298</v>
      </c>
      <c r="I426">
        <v>301</v>
      </c>
      <c r="K426" s="48"/>
      <c r="L426" s="47"/>
    </row>
    <row r="427" spans="1:15" x14ac:dyDescent="0.2">
      <c r="A427">
        <v>299</v>
      </c>
      <c r="I427">
        <v>302</v>
      </c>
      <c r="K427" s="48"/>
    </row>
    <row r="428" spans="1:15" x14ac:dyDescent="0.2">
      <c r="A428">
        <v>300</v>
      </c>
      <c r="I428">
        <v>303</v>
      </c>
      <c r="K428" s="48"/>
    </row>
    <row r="429" spans="1:15" x14ac:dyDescent="0.2">
      <c r="A429">
        <v>301</v>
      </c>
      <c r="I429">
        <v>304</v>
      </c>
      <c r="K429" s="48"/>
    </row>
    <row r="430" spans="1:15" x14ac:dyDescent="0.2">
      <c r="A430">
        <v>302</v>
      </c>
      <c r="I430">
        <v>305</v>
      </c>
      <c r="K430" s="48"/>
    </row>
    <row r="431" spans="1:15" x14ac:dyDescent="0.2">
      <c r="A431">
        <v>303</v>
      </c>
      <c r="I431">
        <v>306</v>
      </c>
      <c r="K431" s="48"/>
    </row>
    <row r="432" spans="1:15" x14ac:dyDescent="0.2">
      <c r="A432">
        <v>304</v>
      </c>
      <c r="I432">
        <v>307</v>
      </c>
      <c r="K432" s="48"/>
    </row>
    <row r="433" spans="1:11" x14ac:dyDescent="0.2">
      <c r="A433">
        <v>305</v>
      </c>
      <c r="I433">
        <v>308</v>
      </c>
      <c r="K433" s="48"/>
    </row>
    <row r="434" spans="1:11" x14ac:dyDescent="0.2">
      <c r="A434">
        <v>306</v>
      </c>
      <c r="I434">
        <v>309</v>
      </c>
      <c r="K434" s="48"/>
    </row>
    <row r="435" spans="1:11" x14ac:dyDescent="0.2">
      <c r="A435">
        <v>307</v>
      </c>
      <c r="I435">
        <v>310</v>
      </c>
      <c r="K435" s="48"/>
    </row>
    <row r="436" spans="1:11" x14ac:dyDescent="0.2">
      <c r="A436">
        <v>308</v>
      </c>
      <c r="I436">
        <v>311</v>
      </c>
      <c r="K436" s="48"/>
    </row>
    <row r="437" spans="1:11" x14ac:dyDescent="0.2">
      <c r="A437">
        <v>309</v>
      </c>
      <c r="I437">
        <v>312</v>
      </c>
      <c r="K437" s="48"/>
    </row>
    <row r="438" spans="1:11" x14ac:dyDescent="0.2">
      <c r="A438">
        <v>310</v>
      </c>
      <c r="I438">
        <v>313</v>
      </c>
      <c r="K438" s="48"/>
    </row>
    <row r="439" spans="1:11" x14ac:dyDescent="0.2">
      <c r="A439">
        <v>311</v>
      </c>
      <c r="I439">
        <v>314</v>
      </c>
      <c r="K439" s="48"/>
    </row>
    <row r="440" spans="1:11" x14ac:dyDescent="0.2">
      <c r="A440">
        <v>312</v>
      </c>
      <c r="I440">
        <v>315</v>
      </c>
      <c r="K440" s="48"/>
    </row>
    <row r="441" spans="1:11" x14ac:dyDescent="0.2">
      <c r="A441">
        <v>313</v>
      </c>
      <c r="I441">
        <v>316</v>
      </c>
      <c r="K441" s="48"/>
    </row>
    <row r="442" spans="1:11" x14ac:dyDescent="0.2">
      <c r="A442">
        <v>314</v>
      </c>
      <c r="I442">
        <v>317</v>
      </c>
      <c r="K442" s="48"/>
    </row>
    <row r="443" spans="1:11" x14ac:dyDescent="0.2">
      <c r="A443">
        <v>315</v>
      </c>
      <c r="I443">
        <v>318</v>
      </c>
      <c r="K443" s="48"/>
    </row>
    <row r="444" spans="1:11" x14ac:dyDescent="0.2">
      <c r="A444">
        <v>316</v>
      </c>
      <c r="I444">
        <v>319</v>
      </c>
      <c r="K444" s="48"/>
    </row>
    <row r="445" spans="1:11" x14ac:dyDescent="0.2">
      <c r="A445">
        <v>317</v>
      </c>
      <c r="I445">
        <v>320</v>
      </c>
      <c r="K445" s="48"/>
    </row>
    <row r="446" spans="1:11" x14ac:dyDescent="0.2">
      <c r="A446">
        <v>318</v>
      </c>
      <c r="I446">
        <v>321</v>
      </c>
      <c r="K446" s="48"/>
    </row>
    <row r="447" spans="1:11" x14ac:dyDescent="0.2">
      <c r="A447">
        <v>319</v>
      </c>
      <c r="I447">
        <v>322</v>
      </c>
      <c r="K447" s="48"/>
    </row>
    <row r="448" spans="1:11" x14ac:dyDescent="0.2">
      <c r="A448">
        <v>320</v>
      </c>
      <c r="I448">
        <v>323</v>
      </c>
      <c r="K448" s="48"/>
    </row>
    <row r="449" spans="1:11" x14ac:dyDescent="0.2">
      <c r="A449">
        <v>321</v>
      </c>
      <c r="I449">
        <v>324</v>
      </c>
      <c r="K449" s="48"/>
    </row>
    <row r="450" spans="1:11" x14ac:dyDescent="0.2">
      <c r="A450">
        <v>322</v>
      </c>
      <c r="I450">
        <v>325</v>
      </c>
      <c r="K450" s="48"/>
    </row>
    <row r="451" spans="1:11" x14ac:dyDescent="0.2">
      <c r="A451">
        <v>323</v>
      </c>
      <c r="I451">
        <v>326</v>
      </c>
      <c r="K451" s="48"/>
    </row>
    <row r="452" spans="1:11" x14ac:dyDescent="0.2">
      <c r="A452">
        <v>324</v>
      </c>
      <c r="I452">
        <v>327</v>
      </c>
      <c r="K452" s="48"/>
    </row>
    <row r="453" spans="1:11" x14ac:dyDescent="0.2">
      <c r="A453">
        <v>325</v>
      </c>
      <c r="I453">
        <v>328</v>
      </c>
      <c r="K453" s="48"/>
    </row>
    <row r="454" spans="1:11" x14ac:dyDescent="0.2">
      <c r="A454">
        <v>326</v>
      </c>
      <c r="I454">
        <v>329</v>
      </c>
      <c r="K454" s="48"/>
    </row>
    <row r="455" spans="1:11" x14ac:dyDescent="0.2">
      <c r="A455">
        <v>327</v>
      </c>
      <c r="I455">
        <v>330</v>
      </c>
      <c r="K455" s="48"/>
    </row>
    <row r="456" spans="1:11" x14ac:dyDescent="0.2">
      <c r="A456">
        <v>328</v>
      </c>
      <c r="I456">
        <v>331</v>
      </c>
      <c r="K456" s="48"/>
    </row>
    <row r="457" spans="1:11" x14ac:dyDescent="0.2">
      <c r="A457">
        <v>329</v>
      </c>
      <c r="I457">
        <v>332</v>
      </c>
      <c r="K457" s="48"/>
    </row>
    <row r="458" spans="1:11" x14ac:dyDescent="0.2">
      <c r="A458">
        <v>330</v>
      </c>
      <c r="I458">
        <v>333</v>
      </c>
      <c r="K458" s="48"/>
    </row>
    <row r="459" spans="1:11" x14ac:dyDescent="0.2">
      <c r="A459">
        <v>331</v>
      </c>
      <c r="I459">
        <v>334</v>
      </c>
      <c r="K459" s="48"/>
    </row>
    <row r="460" spans="1:11" x14ac:dyDescent="0.2">
      <c r="A460">
        <v>332</v>
      </c>
      <c r="I460">
        <v>335</v>
      </c>
      <c r="K460" s="48"/>
    </row>
    <row r="461" spans="1:11" x14ac:dyDescent="0.2">
      <c r="A461">
        <v>333</v>
      </c>
      <c r="I461">
        <v>336</v>
      </c>
      <c r="K461" s="48"/>
    </row>
    <row r="462" spans="1:11" x14ac:dyDescent="0.2">
      <c r="A462">
        <v>334</v>
      </c>
      <c r="I462">
        <v>337</v>
      </c>
      <c r="K462" s="48"/>
    </row>
    <row r="463" spans="1:11" x14ac:dyDescent="0.2">
      <c r="A463">
        <v>335</v>
      </c>
      <c r="I463">
        <v>338</v>
      </c>
      <c r="K463" s="48"/>
    </row>
    <row r="464" spans="1:11" x14ac:dyDescent="0.2">
      <c r="A464">
        <v>336</v>
      </c>
      <c r="I464">
        <v>339</v>
      </c>
      <c r="K464" s="48"/>
    </row>
    <row r="465" spans="1:11" x14ac:dyDescent="0.2">
      <c r="A465">
        <v>337</v>
      </c>
      <c r="I465">
        <v>340</v>
      </c>
      <c r="K465" s="48"/>
    </row>
    <row r="466" spans="1:11" x14ac:dyDescent="0.2">
      <c r="A466">
        <v>338</v>
      </c>
      <c r="I466">
        <v>341</v>
      </c>
      <c r="K466" s="48"/>
    </row>
    <row r="467" spans="1:11" x14ac:dyDescent="0.2">
      <c r="A467">
        <v>339</v>
      </c>
      <c r="I467">
        <v>342</v>
      </c>
      <c r="K467" s="48"/>
    </row>
    <row r="468" spans="1:11" x14ac:dyDescent="0.2">
      <c r="A468">
        <v>340</v>
      </c>
      <c r="I468">
        <v>343</v>
      </c>
      <c r="K468" s="48"/>
    </row>
    <row r="469" spans="1:11" x14ac:dyDescent="0.2">
      <c r="A469">
        <v>341</v>
      </c>
      <c r="I469">
        <v>344</v>
      </c>
      <c r="K469" s="48"/>
    </row>
    <row r="470" spans="1:11" x14ac:dyDescent="0.2">
      <c r="A470">
        <v>342</v>
      </c>
      <c r="I470">
        <v>345</v>
      </c>
      <c r="K470" s="48"/>
    </row>
    <row r="471" spans="1:11" x14ac:dyDescent="0.2">
      <c r="A471">
        <v>343</v>
      </c>
      <c r="I471">
        <v>346</v>
      </c>
      <c r="K471" s="48"/>
    </row>
    <row r="472" spans="1:11" x14ac:dyDescent="0.2">
      <c r="A472">
        <v>344</v>
      </c>
      <c r="I472">
        <v>347</v>
      </c>
      <c r="K472" s="48"/>
    </row>
    <row r="473" spans="1:11" x14ac:dyDescent="0.2">
      <c r="A473">
        <v>345</v>
      </c>
      <c r="I473">
        <v>348</v>
      </c>
      <c r="K473" s="48"/>
    </row>
    <row r="474" spans="1:11" x14ac:dyDescent="0.2">
      <c r="A474">
        <v>346</v>
      </c>
      <c r="I474">
        <v>349</v>
      </c>
      <c r="K474" s="48"/>
    </row>
    <row r="475" spans="1:11" x14ac:dyDescent="0.2">
      <c r="A475">
        <v>347</v>
      </c>
      <c r="I475">
        <v>350</v>
      </c>
      <c r="K475" s="48"/>
    </row>
    <row r="476" spans="1:11" x14ac:dyDescent="0.2">
      <c r="A476">
        <v>348</v>
      </c>
      <c r="I476">
        <v>351</v>
      </c>
      <c r="K476" s="48"/>
    </row>
    <row r="477" spans="1:11" x14ac:dyDescent="0.2">
      <c r="A477">
        <v>349</v>
      </c>
      <c r="I477">
        <v>352</v>
      </c>
      <c r="K477" s="48"/>
    </row>
    <row r="478" spans="1:11" x14ac:dyDescent="0.2">
      <c r="A478">
        <v>350</v>
      </c>
      <c r="I478">
        <v>353</v>
      </c>
      <c r="K478" s="48"/>
    </row>
    <row r="479" spans="1:11" x14ac:dyDescent="0.2">
      <c r="A479">
        <v>351</v>
      </c>
      <c r="I479">
        <v>354</v>
      </c>
      <c r="K479" s="48"/>
    </row>
    <row r="480" spans="1:11" x14ac:dyDescent="0.2">
      <c r="A480">
        <v>352</v>
      </c>
      <c r="I480">
        <v>355</v>
      </c>
      <c r="K480" s="48"/>
    </row>
    <row r="481" spans="1:11" x14ac:dyDescent="0.2">
      <c r="A481">
        <v>353</v>
      </c>
      <c r="I481">
        <v>356</v>
      </c>
      <c r="K481" s="48"/>
    </row>
    <row r="482" spans="1:11" x14ac:dyDescent="0.2">
      <c r="A482">
        <v>354</v>
      </c>
      <c r="I482">
        <v>357</v>
      </c>
      <c r="K482" s="48"/>
    </row>
    <row r="483" spans="1:11" x14ac:dyDescent="0.2">
      <c r="A483">
        <v>355</v>
      </c>
      <c r="I483">
        <v>358</v>
      </c>
      <c r="K483" s="48"/>
    </row>
    <row r="484" spans="1:11" x14ac:dyDescent="0.2">
      <c r="A484">
        <v>356</v>
      </c>
      <c r="I484">
        <v>359</v>
      </c>
      <c r="K484" s="48"/>
    </row>
    <row r="485" spans="1:11" x14ac:dyDescent="0.2">
      <c r="A485">
        <v>357</v>
      </c>
      <c r="I485">
        <v>360</v>
      </c>
      <c r="K485" s="48"/>
    </row>
    <row r="486" spans="1:11" x14ac:dyDescent="0.2">
      <c r="A486">
        <v>358</v>
      </c>
      <c r="I486">
        <v>361</v>
      </c>
      <c r="K486" s="48"/>
    </row>
    <row r="487" spans="1:11" x14ac:dyDescent="0.2">
      <c r="A487">
        <v>359</v>
      </c>
      <c r="I487">
        <v>362</v>
      </c>
      <c r="K487" s="48"/>
    </row>
    <row r="488" spans="1:11" x14ac:dyDescent="0.2">
      <c r="A488">
        <v>360</v>
      </c>
      <c r="I488">
        <v>363</v>
      </c>
      <c r="K488" s="48"/>
    </row>
    <row r="489" spans="1:11" x14ac:dyDescent="0.2">
      <c r="A489">
        <v>361</v>
      </c>
      <c r="I489">
        <v>364</v>
      </c>
      <c r="K489" s="48"/>
    </row>
    <row r="490" spans="1:11" x14ac:dyDescent="0.2">
      <c r="A490">
        <v>362</v>
      </c>
      <c r="I490">
        <v>365</v>
      </c>
      <c r="K490" s="48"/>
    </row>
    <row r="491" spans="1:11" x14ac:dyDescent="0.2">
      <c r="A491">
        <v>363</v>
      </c>
      <c r="I491">
        <v>366</v>
      </c>
      <c r="K491" s="48"/>
    </row>
    <row r="492" spans="1:11" x14ac:dyDescent="0.2">
      <c r="A492">
        <v>364</v>
      </c>
      <c r="I492">
        <v>367</v>
      </c>
      <c r="K492" s="48"/>
    </row>
    <row r="493" spans="1:11" x14ac:dyDescent="0.2">
      <c r="A493">
        <v>365</v>
      </c>
      <c r="I493">
        <v>368</v>
      </c>
      <c r="K493" s="48"/>
    </row>
    <row r="494" spans="1:11" x14ac:dyDescent="0.2">
      <c r="A494">
        <v>366</v>
      </c>
      <c r="I494">
        <v>369</v>
      </c>
      <c r="K494" s="48"/>
    </row>
    <row r="495" spans="1:11" x14ac:dyDescent="0.2">
      <c r="A495">
        <v>367</v>
      </c>
      <c r="I495">
        <v>370</v>
      </c>
      <c r="K495" s="48"/>
    </row>
    <row r="496" spans="1:11" x14ac:dyDescent="0.2">
      <c r="A496">
        <v>368</v>
      </c>
      <c r="I496">
        <v>371</v>
      </c>
      <c r="K496" s="48"/>
    </row>
    <row r="497" spans="1:11" x14ac:dyDescent="0.2">
      <c r="A497">
        <v>369</v>
      </c>
      <c r="I497">
        <v>372</v>
      </c>
      <c r="K497" s="48"/>
    </row>
    <row r="498" spans="1:11" x14ac:dyDescent="0.2">
      <c r="A498">
        <v>370</v>
      </c>
      <c r="I498">
        <v>373</v>
      </c>
      <c r="K498" s="48"/>
    </row>
    <row r="499" spans="1:11" x14ac:dyDescent="0.2">
      <c r="A499">
        <v>371</v>
      </c>
      <c r="I499">
        <v>374</v>
      </c>
      <c r="K499" s="48"/>
    </row>
    <row r="500" spans="1:11" x14ac:dyDescent="0.2">
      <c r="A500">
        <v>372</v>
      </c>
      <c r="I500">
        <v>375</v>
      </c>
      <c r="K500" s="48"/>
    </row>
    <row r="501" spans="1:11" x14ac:dyDescent="0.2">
      <c r="A501">
        <v>373</v>
      </c>
      <c r="I501">
        <v>376</v>
      </c>
      <c r="K501" s="48"/>
    </row>
    <row r="502" spans="1:11" x14ac:dyDescent="0.2">
      <c r="A502">
        <v>374</v>
      </c>
      <c r="I502">
        <v>377</v>
      </c>
      <c r="K502" s="48"/>
    </row>
    <row r="503" spans="1:11" x14ac:dyDescent="0.2">
      <c r="A503">
        <v>375</v>
      </c>
      <c r="I503">
        <v>378</v>
      </c>
      <c r="K503" s="48"/>
    </row>
    <row r="504" spans="1:11" x14ac:dyDescent="0.2">
      <c r="A504">
        <v>376</v>
      </c>
      <c r="I504">
        <v>379</v>
      </c>
      <c r="K504" s="48"/>
    </row>
    <row r="505" spans="1:11" x14ac:dyDescent="0.2">
      <c r="A505">
        <v>377</v>
      </c>
      <c r="I505">
        <v>380</v>
      </c>
      <c r="K505" s="48"/>
    </row>
    <row r="506" spans="1:11" x14ac:dyDescent="0.2">
      <c r="A506">
        <v>378</v>
      </c>
      <c r="I506">
        <v>381</v>
      </c>
      <c r="K506" s="48"/>
    </row>
    <row r="507" spans="1:11" x14ac:dyDescent="0.2">
      <c r="A507">
        <v>379</v>
      </c>
      <c r="I507">
        <v>382</v>
      </c>
      <c r="K507" s="48"/>
    </row>
    <row r="508" spans="1:11" x14ac:dyDescent="0.2">
      <c r="A508">
        <v>380</v>
      </c>
      <c r="I508">
        <v>383</v>
      </c>
      <c r="K508" s="48"/>
    </row>
    <row r="509" spans="1:11" x14ac:dyDescent="0.2">
      <c r="A509">
        <v>381</v>
      </c>
      <c r="I509">
        <v>384</v>
      </c>
      <c r="K509" s="48"/>
    </row>
    <row r="510" spans="1:11" x14ac:dyDescent="0.2">
      <c r="A510">
        <v>382</v>
      </c>
      <c r="I510">
        <v>385</v>
      </c>
      <c r="K510" s="48"/>
    </row>
    <row r="511" spans="1:11" x14ac:dyDescent="0.2">
      <c r="A511">
        <v>383</v>
      </c>
      <c r="I511">
        <v>386</v>
      </c>
      <c r="K511" s="48"/>
    </row>
    <row r="512" spans="1:11" x14ac:dyDescent="0.2">
      <c r="A512">
        <v>384</v>
      </c>
      <c r="I512">
        <v>387</v>
      </c>
      <c r="K512" s="48"/>
    </row>
    <row r="513" spans="1:11" x14ac:dyDescent="0.2">
      <c r="A513">
        <v>385</v>
      </c>
      <c r="I513">
        <v>388</v>
      </c>
      <c r="K513" s="48"/>
    </row>
    <row r="514" spans="1:11" x14ac:dyDescent="0.2">
      <c r="A514">
        <v>386</v>
      </c>
      <c r="I514">
        <v>389</v>
      </c>
      <c r="K514" s="48"/>
    </row>
    <row r="515" spans="1:11" x14ac:dyDescent="0.2">
      <c r="A515">
        <v>387</v>
      </c>
      <c r="I515">
        <v>390</v>
      </c>
      <c r="K515" s="48"/>
    </row>
    <row r="516" spans="1:11" x14ac:dyDescent="0.2">
      <c r="A516">
        <v>388</v>
      </c>
      <c r="I516">
        <v>391</v>
      </c>
      <c r="K516" s="48"/>
    </row>
    <row r="517" spans="1:11" x14ac:dyDescent="0.2">
      <c r="A517">
        <v>389</v>
      </c>
      <c r="I517">
        <v>392</v>
      </c>
      <c r="K517" s="48"/>
    </row>
    <row r="518" spans="1:11" x14ac:dyDescent="0.2">
      <c r="A518">
        <v>390</v>
      </c>
      <c r="I518">
        <v>393</v>
      </c>
      <c r="K518" s="48"/>
    </row>
    <row r="519" spans="1:11" x14ac:dyDescent="0.2">
      <c r="A519">
        <v>391</v>
      </c>
      <c r="I519">
        <v>394</v>
      </c>
      <c r="K519" s="48"/>
    </row>
    <row r="520" spans="1:11" x14ac:dyDescent="0.2">
      <c r="A520">
        <v>392</v>
      </c>
      <c r="I520">
        <v>395</v>
      </c>
      <c r="K520" s="48"/>
    </row>
    <row r="521" spans="1:11" x14ac:dyDescent="0.2">
      <c r="A521">
        <v>393</v>
      </c>
      <c r="I521">
        <v>396</v>
      </c>
      <c r="K521" s="48"/>
    </row>
    <row r="522" spans="1:11" x14ac:dyDescent="0.2">
      <c r="A522">
        <v>394</v>
      </c>
      <c r="I522">
        <v>397</v>
      </c>
      <c r="K522" s="48"/>
    </row>
    <row r="523" spans="1:11" x14ac:dyDescent="0.2">
      <c r="A523">
        <v>395</v>
      </c>
      <c r="I523">
        <v>398</v>
      </c>
      <c r="K523" s="48"/>
    </row>
    <row r="524" spans="1:11" x14ac:dyDescent="0.2">
      <c r="A524">
        <v>396</v>
      </c>
      <c r="I524">
        <v>399</v>
      </c>
      <c r="K524" s="48"/>
    </row>
    <row r="525" spans="1:11" x14ac:dyDescent="0.2">
      <c r="A525">
        <v>397</v>
      </c>
      <c r="I525">
        <v>400</v>
      </c>
      <c r="K525" s="48"/>
    </row>
    <row r="526" spans="1:11" x14ac:dyDescent="0.2">
      <c r="A526">
        <v>398</v>
      </c>
      <c r="I526">
        <v>401</v>
      </c>
      <c r="K526" s="48"/>
    </row>
    <row r="527" spans="1:11" x14ac:dyDescent="0.2">
      <c r="A527">
        <v>399</v>
      </c>
      <c r="I527">
        <v>402</v>
      </c>
      <c r="K527" s="48"/>
    </row>
    <row r="528" spans="1:11" x14ac:dyDescent="0.2">
      <c r="A528">
        <v>400</v>
      </c>
      <c r="I528">
        <v>403</v>
      </c>
      <c r="K528" s="48"/>
    </row>
    <row r="529" spans="1:11" x14ac:dyDescent="0.2">
      <c r="A529">
        <v>401</v>
      </c>
      <c r="I529">
        <v>404</v>
      </c>
      <c r="K529" s="48"/>
    </row>
    <row r="530" spans="1:11" x14ac:dyDescent="0.2">
      <c r="A530">
        <v>402</v>
      </c>
      <c r="I530">
        <v>405</v>
      </c>
      <c r="K530" s="48"/>
    </row>
    <row r="531" spans="1:11" x14ac:dyDescent="0.2">
      <c r="A531">
        <v>403</v>
      </c>
      <c r="I531">
        <v>406</v>
      </c>
      <c r="K531" s="48"/>
    </row>
    <row r="532" spans="1:11" x14ac:dyDescent="0.2">
      <c r="A532">
        <v>404</v>
      </c>
      <c r="I532">
        <v>407</v>
      </c>
      <c r="K532" s="48"/>
    </row>
    <row r="533" spans="1:11" x14ac:dyDescent="0.2">
      <c r="A533">
        <v>405</v>
      </c>
      <c r="I533">
        <v>408</v>
      </c>
      <c r="K533" s="48"/>
    </row>
    <row r="534" spans="1:11" x14ac:dyDescent="0.2">
      <c r="A534">
        <v>406</v>
      </c>
      <c r="I534">
        <v>409</v>
      </c>
      <c r="K534" s="48"/>
    </row>
    <row r="535" spans="1:11" x14ac:dyDescent="0.2">
      <c r="A535">
        <v>407</v>
      </c>
      <c r="I535">
        <v>410</v>
      </c>
      <c r="K535" s="48"/>
    </row>
    <row r="536" spans="1:11" x14ac:dyDescent="0.2">
      <c r="A536">
        <v>408</v>
      </c>
      <c r="I536">
        <v>411</v>
      </c>
      <c r="K536" s="48"/>
    </row>
    <row r="537" spans="1:11" x14ac:dyDescent="0.2">
      <c r="A537">
        <v>409</v>
      </c>
      <c r="I537">
        <v>412</v>
      </c>
      <c r="K537" s="48"/>
    </row>
    <row r="538" spans="1:11" x14ac:dyDescent="0.2">
      <c r="A538">
        <v>410</v>
      </c>
      <c r="I538">
        <v>413</v>
      </c>
      <c r="K538" s="48"/>
    </row>
    <row r="539" spans="1:11" x14ac:dyDescent="0.2">
      <c r="A539">
        <v>411</v>
      </c>
      <c r="I539">
        <v>414</v>
      </c>
      <c r="K539" s="48"/>
    </row>
    <row r="540" spans="1:11" x14ac:dyDescent="0.2">
      <c r="I540">
        <v>415</v>
      </c>
      <c r="K540" s="48"/>
    </row>
    <row r="541" spans="1:11" x14ac:dyDescent="0.2">
      <c r="I541">
        <v>416</v>
      </c>
      <c r="K541" s="48"/>
    </row>
    <row r="542" spans="1:11" x14ac:dyDescent="0.2">
      <c r="I542">
        <v>417</v>
      </c>
      <c r="K542" s="48"/>
    </row>
    <row r="543" spans="1:11" x14ac:dyDescent="0.2">
      <c r="I543">
        <v>418</v>
      </c>
      <c r="K543" s="48"/>
    </row>
    <row r="544" spans="1:11" x14ac:dyDescent="0.2">
      <c r="I544">
        <v>419</v>
      </c>
      <c r="K544" s="48"/>
    </row>
    <row r="545" spans="9:11" x14ac:dyDescent="0.2">
      <c r="I545">
        <v>420</v>
      </c>
      <c r="K545" s="48"/>
    </row>
    <row r="546" spans="9:11" x14ac:dyDescent="0.2">
      <c r="I546">
        <v>421</v>
      </c>
      <c r="K546" s="48"/>
    </row>
    <row r="547" spans="9:11" x14ac:dyDescent="0.2">
      <c r="I547">
        <v>422</v>
      </c>
      <c r="K547" s="48"/>
    </row>
    <row r="548" spans="9:11" x14ac:dyDescent="0.2">
      <c r="I548">
        <v>423</v>
      </c>
      <c r="K548" s="48"/>
    </row>
    <row r="549" spans="9:11" x14ac:dyDescent="0.2">
      <c r="K549" s="48"/>
    </row>
    <row r="550" spans="9:11" x14ac:dyDescent="0.2">
      <c r="K550" s="48"/>
    </row>
    <row r="551" spans="9:11" x14ac:dyDescent="0.2">
      <c r="K551" s="48"/>
    </row>
    <row r="552" spans="9:11" x14ac:dyDescent="0.2">
      <c r="K552" s="48"/>
    </row>
    <row r="553" spans="9:11" x14ac:dyDescent="0.2">
      <c r="K553" s="48"/>
    </row>
    <row r="554" spans="9:11" x14ac:dyDescent="0.2">
      <c r="K554" s="48"/>
    </row>
    <row r="555" spans="9:11" x14ac:dyDescent="0.2">
      <c r="K555" s="48"/>
    </row>
    <row r="556" spans="9:11" x14ac:dyDescent="0.2">
      <c r="K556" s="48"/>
    </row>
    <row r="557" spans="9:11" x14ac:dyDescent="0.2">
      <c r="K557" s="48"/>
    </row>
    <row r="558" spans="9:11" x14ac:dyDescent="0.2">
      <c r="K558" s="48"/>
    </row>
    <row r="559" spans="9:11" x14ac:dyDescent="0.2">
      <c r="K559" s="48"/>
    </row>
    <row r="560" spans="9:11" x14ac:dyDescent="0.2">
      <c r="K560" s="48"/>
    </row>
    <row r="561" spans="11:11" x14ac:dyDescent="0.2">
      <c r="K561" s="48"/>
    </row>
    <row r="562" spans="11:11" x14ac:dyDescent="0.2">
      <c r="K562" s="48"/>
    </row>
    <row r="563" spans="11:11" x14ac:dyDescent="0.2">
      <c r="K563" s="48"/>
    </row>
    <row r="564" spans="11:11" x14ac:dyDescent="0.2">
      <c r="K564" s="48"/>
    </row>
    <row r="565" spans="11:11" x14ac:dyDescent="0.2">
      <c r="K565" s="48"/>
    </row>
    <row r="566" spans="11:11" x14ac:dyDescent="0.2">
      <c r="K566" s="48"/>
    </row>
    <row r="567" spans="11:11" x14ac:dyDescent="0.2">
      <c r="K567" s="48"/>
    </row>
    <row r="568" spans="11:11" x14ac:dyDescent="0.2">
      <c r="K568" s="48"/>
    </row>
    <row r="569" spans="11:11" x14ac:dyDescent="0.2">
      <c r="K569" s="48"/>
    </row>
    <row r="570" spans="11:11" x14ac:dyDescent="0.2">
      <c r="K570" s="48"/>
    </row>
    <row r="571" spans="11:11" x14ac:dyDescent="0.2">
      <c r="K571" s="48"/>
    </row>
    <row r="572" spans="11:11" x14ac:dyDescent="0.2">
      <c r="K572" s="48"/>
    </row>
    <row r="573" spans="11:11" x14ac:dyDescent="0.2">
      <c r="K573" s="48"/>
    </row>
    <row r="574" spans="11:11" x14ac:dyDescent="0.2">
      <c r="K574" s="48"/>
    </row>
    <row r="575" spans="11:11" x14ac:dyDescent="0.2">
      <c r="K575" s="48"/>
    </row>
    <row r="576" spans="11:11" x14ac:dyDescent="0.2">
      <c r="K576" s="48"/>
    </row>
    <row r="577" spans="11:11" x14ac:dyDescent="0.2">
      <c r="K577" s="48"/>
    </row>
    <row r="578" spans="11:11" x14ac:dyDescent="0.2">
      <c r="K578" s="48"/>
    </row>
    <row r="579" spans="11:11" x14ac:dyDescent="0.2">
      <c r="K579" s="48"/>
    </row>
    <row r="580" spans="11:11" x14ac:dyDescent="0.2">
      <c r="K580" s="48"/>
    </row>
    <row r="581" spans="11:11" x14ac:dyDescent="0.2">
      <c r="K581" s="48"/>
    </row>
    <row r="582" spans="11:11" x14ac:dyDescent="0.2">
      <c r="K582" s="48"/>
    </row>
    <row r="583" spans="11:11" x14ac:dyDescent="0.2">
      <c r="K583" s="48"/>
    </row>
    <row r="584" spans="11:11" x14ac:dyDescent="0.2">
      <c r="K584" s="48"/>
    </row>
    <row r="585" spans="11:11" x14ac:dyDescent="0.2">
      <c r="K585" s="48"/>
    </row>
    <row r="586" spans="11:11" x14ac:dyDescent="0.2">
      <c r="K586" s="48"/>
    </row>
    <row r="587" spans="11:11" x14ac:dyDescent="0.2">
      <c r="K587" s="48"/>
    </row>
    <row r="588" spans="11:11" x14ac:dyDescent="0.2">
      <c r="K588" s="48"/>
    </row>
    <row r="589" spans="11:11" x14ac:dyDescent="0.2">
      <c r="K589" s="48"/>
    </row>
    <row r="590" spans="11:11" x14ac:dyDescent="0.2">
      <c r="K590" s="48"/>
    </row>
    <row r="591" spans="11:11" x14ac:dyDescent="0.2">
      <c r="K591" s="48"/>
    </row>
    <row r="592" spans="11:11" x14ac:dyDescent="0.2">
      <c r="K592" s="48"/>
    </row>
    <row r="593" spans="11:11" x14ac:dyDescent="0.2">
      <c r="K593" s="48"/>
    </row>
    <row r="594" spans="11:11" x14ac:dyDescent="0.2">
      <c r="K594" s="48"/>
    </row>
    <row r="595" spans="11:11" x14ac:dyDescent="0.2">
      <c r="K595" s="48"/>
    </row>
    <row r="596" spans="11:11" x14ac:dyDescent="0.2">
      <c r="K596" s="48"/>
    </row>
    <row r="597" spans="11:11" x14ac:dyDescent="0.2">
      <c r="K597" s="48"/>
    </row>
    <row r="598" spans="11:11" x14ac:dyDescent="0.2">
      <c r="K598" s="48"/>
    </row>
    <row r="599" spans="11:11" x14ac:dyDescent="0.2">
      <c r="K599" s="48"/>
    </row>
    <row r="600" spans="11:11" x14ac:dyDescent="0.2">
      <c r="K600" s="48"/>
    </row>
    <row r="601" spans="11:11" x14ac:dyDescent="0.2">
      <c r="K601" s="48"/>
    </row>
    <row r="602" spans="11:11" x14ac:dyDescent="0.2">
      <c r="K602" s="48"/>
    </row>
    <row r="603" spans="11:11" x14ac:dyDescent="0.2">
      <c r="K603" s="48"/>
    </row>
    <row r="604" spans="11:11" x14ac:dyDescent="0.2">
      <c r="K604" s="48"/>
    </row>
    <row r="605" spans="11:11" x14ac:dyDescent="0.2">
      <c r="K605" s="48"/>
    </row>
    <row r="606" spans="11:11" x14ac:dyDescent="0.2">
      <c r="K606" s="48"/>
    </row>
    <row r="607" spans="11:11" x14ac:dyDescent="0.2">
      <c r="K607" s="48"/>
    </row>
    <row r="608" spans="11:11" x14ac:dyDescent="0.2">
      <c r="K608" s="48"/>
    </row>
    <row r="609" spans="11:11" x14ac:dyDescent="0.2">
      <c r="K609" s="48"/>
    </row>
    <row r="610" spans="11:11" x14ac:dyDescent="0.2">
      <c r="K610" s="48"/>
    </row>
    <row r="611" spans="11:11" x14ac:dyDescent="0.2">
      <c r="K611" s="48"/>
    </row>
    <row r="612" spans="11:11" x14ac:dyDescent="0.2">
      <c r="K612" s="48"/>
    </row>
    <row r="613" spans="11:11" x14ac:dyDescent="0.2">
      <c r="K613" s="48"/>
    </row>
    <row r="614" spans="11:11" x14ac:dyDescent="0.2">
      <c r="K614" s="48"/>
    </row>
    <row r="615" spans="11:11" x14ac:dyDescent="0.2">
      <c r="K615" s="48"/>
    </row>
    <row r="616" spans="11:11" x14ac:dyDescent="0.2">
      <c r="K616" s="48"/>
    </row>
    <row r="617" spans="11:11" x14ac:dyDescent="0.2">
      <c r="K617" s="48"/>
    </row>
    <row r="618" spans="11:11" x14ac:dyDescent="0.2">
      <c r="K618" s="48"/>
    </row>
    <row r="619" spans="11:11" x14ac:dyDescent="0.2">
      <c r="K619" s="48"/>
    </row>
    <row r="620" spans="11:11" x14ac:dyDescent="0.2">
      <c r="K620" s="48"/>
    </row>
    <row r="621" spans="11:11" x14ac:dyDescent="0.2">
      <c r="K621" s="48"/>
    </row>
    <row r="622" spans="11:11" x14ac:dyDescent="0.2">
      <c r="K622" s="48"/>
    </row>
    <row r="623" spans="11:11" x14ac:dyDescent="0.2">
      <c r="K623" s="48"/>
    </row>
    <row r="624" spans="11:11" x14ac:dyDescent="0.2">
      <c r="K624" s="48"/>
    </row>
    <row r="625" spans="11:11" x14ac:dyDescent="0.2">
      <c r="K625" s="48"/>
    </row>
    <row r="626" spans="11:11" x14ac:dyDescent="0.2">
      <c r="K626" s="48"/>
    </row>
    <row r="627" spans="11:11" x14ac:dyDescent="0.2">
      <c r="K627" s="48"/>
    </row>
    <row r="628" spans="11:11" x14ac:dyDescent="0.2">
      <c r="K628" s="48"/>
    </row>
    <row r="629" spans="11:11" x14ac:dyDescent="0.2">
      <c r="K629" s="48"/>
    </row>
    <row r="630" spans="11:11" x14ac:dyDescent="0.2">
      <c r="K630" s="48"/>
    </row>
    <row r="631" spans="11:11" x14ac:dyDescent="0.2">
      <c r="K631" s="48"/>
    </row>
    <row r="632" spans="11:11" x14ac:dyDescent="0.2">
      <c r="K632" s="48"/>
    </row>
    <row r="633" spans="11:11" x14ac:dyDescent="0.2">
      <c r="K633" s="48"/>
    </row>
    <row r="634" spans="11:11" x14ac:dyDescent="0.2">
      <c r="K634" s="48"/>
    </row>
    <row r="635" spans="11:11" x14ac:dyDescent="0.2">
      <c r="K635" s="48"/>
    </row>
    <row r="636" spans="11:11" x14ac:dyDescent="0.2">
      <c r="K636" s="48"/>
    </row>
    <row r="637" spans="11:11" x14ac:dyDescent="0.2">
      <c r="K637" s="48"/>
    </row>
    <row r="638" spans="11:11" x14ac:dyDescent="0.2">
      <c r="K638" s="48"/>
    </row>
    <row r="639" spans="11:11" x14ac:dyDescent="0.2">
      <c r="K639" s="48"/>
    </row>
    <row r="640" spans="11:11" x14ac:dyDescent="0.2">
      <c r="K640" s="48"/>
    </row>
    <row r="641" spans="11:11" x14ac:dyDescent="0.2">
      <c r="K641" s="48"/>
    </row>
    <row r="642" spans="11:11" x14ac:dyDescent="0.2">
      <c r="K642" s="48"/>
    </row>
    <row r="643" spans="11:11" x14ac:dyDescent="0.2">
      <c r="K643" s="48"/>
    </row>
    <row r="644" spans="11:11" x14ac:dyDescent="0.2">
      <c r="K644" s="48"/>
    </row>
    <row r="645" spans="11:11" x14ac:dyDescent="0.2">
      <c r="K645" s="48"/>
    </row>
    <row r="646" spans="11:11" x14ac:dyDescent="0.2">
      <c r="K646" s="48"/>
    </row>
    <row r="647" spans="11:11" x14ac:dyDescent="0.2">
      <c r="K647" s="48"/>
    </row>
    <row r="648" spans="11:11" x14ac:dyDescent="0.2">
      <c r="K648" s="48"/>
    </row>
    <row r="649" spans="11:11" x14ac:dyDescent="0.2">
      <c r="K649" s="48"/>
    </row>
    <row r="650" spans="11:11" x14ac:dyDescent="0.2">
      <c r="K650" s="48"/>
    </row>
    <row r="651" spans="11:11" x14ac:dyDescent="0.2">
      <c r="K651" s="48"/>
    </row>
    <row r="652" spans="11:11" x14ac:dyDescent="0.2">
      <c r="K652" s="48"/>
    </row>
    <row r="653" spans="11:11" x14ac:dyDescent="0.2">
      <c r="K653" s="48"/>
    </row>
    <row r="654" spans="11:11" x14ac:dyDescent="0.2">
      <c r="K654" s="48"/>
    </row>
    <row r="655" spans="11:11" x14ac:dyDescent="0.2">
      <c r="K655" s="48"/>
    </row>
    <row r="656" spans="11:11" x14ac:dyDescent="0.2">
      <c r="K656" s="48"/>
    </row>
    <row r="657" spans="11:11" x14ac:dyDescent="0.2">
      <c r="K657" s="48"/>
    </row>
    <row r="658" spans="11:11" x14ac:dyDescent="0.2">
      <c r="K658" s="48"/>
    </row>
    <row r="659" spans="11:11" x14ac:dyDescent="0.2">
      <c r="K659" s="48"/>
    </row>
    <row r="660" spans="11:11" x14ac:dyDescent="0.2">
      <c r="K660" s="48"/>
    </row>
    <row r="661" spans="11:11" x14ac:dyDescent="0.2">
      <c r="K661" s="48"/>
    </row>
    <row r="662" spans="11:11" x14ac:dyDescent="0.2">
      <c r="K662" s="48"/>
    </row>
    <row r="663" spans="11:11" x14ac:dyDescent="0.2">
      <c r="K663" s="48"/>
    </row>
    <row r="664" spans="11:11" x14ac:dyDescent="0.2">
      <c r="K664" s="48"/>
    </row>
    <row r="665" spans="11:11" x14ac:dyDescent="0.2">
      <c r="K665" s="48"/>
    </row>
    <row r="666" spans="11:11" x14ac:dyDescent="0.2">
      <c r="K666" s="48"/>
    </row>
    <row r="667" spans="11:11" x14ac:dyDescent="0.2">
      <c r="K667" s="48"/>
    </row>
    <row r="668" spans="11:11" x14ac:dyDescent="0.2">
      <c r="K668" s="48"/>
    </row>
    <row r="669" spans="11:11" x14ac:dyDescent="0.2">
      <c r="K669" s="48"/>
    </row>
    <row r="670" spans="11:11" x14ac:dyDescent="0.2">
      <c r="K670" s="48"/>
    </row>
    <row r="671" spans="11:11" x14ac:dyDescent="0.2">
      <c r="K671" s="48"/>
    </row>
    <row r="672" spans="11:11" x14ac:dyDescent="0.2">
      <c r="K672" s="48"/>
    </row>
    <row r="673" spans="11:11" x14ac:dyDescent="0.2">
      <c r="K673" s="48"/>
    </row>
    <row r="674" spans="11:11" x14ac:dyDescent="0.2">
      <c r="K674" s="48"/>
    </row>
    <row r="675" spans="11:11" x14ac:dyDescent="0.2">
      <c r="K675" s="48"/>
    </row>
    <row r="676" spans="11:11" x14ac:dyDescent="0.2">
      <c r="K676" s="48"/>
    </row>
    <row r="677" spans="11:11" x14ac:dyDescent="0.2">
      <c r="K677" s="48"/>
    </row>
    <row r="678" spans="11:11" x14ac:dyDescent="0.2">
      <c r="K678" s="48"/>
    </row>
    <row r="679" spans="11:11" x14ac:dyDescent="0.2">
      <c r="K679" s="48"/>
    </row>
    <row r="680" spans="11:11" x14ac:dyDescent="0.2">
      <c r="K680" s="48"/>
    </row>
    <row r="681" spans="11:11" x14ac:dyDescent="0.2">
      <c r="K681" s="48"/>
    </row>
    <row r="682" spans="11:11" x14ac:dyDescent="0.2">
      <c r="K682" s="48"/>
    </row>
    <row r="683" spans="11:11" x14ac:dyDescent="0.2">
      <c r="K683" s="48"/>
    </row>
    <row r="684" spans="11:11" x14ac:dyDescent="0.2">
      <c r="K684" s="48"/>
    </row>
    <row r="685" spans="11:11" x14ac:dyDescent="0.2">
      <c r="K685" s="48"/>
    </row>
    <row r="686" spans="11:11" x14ac:dyDescent="0.2">
      <c r="K686" s="48"/>
    </row>
    <row r="687" spans="11:11" x14ac:dyDescent="0.2">
      <c r="K687" s="48"/>
    </row>
    <row r="688" spans="11:11" x14ac:dyDescent="0.2">
      <c r="K688" s="48"/>
    </row>
    <row r="689" spans="11:11" x14ac:dyDescent="0.2">
      <c r="K689" s="48"/>
    </row>
    <row r="690" spans="11:11" x14ac:dyDescent="0.2">
      <c r="K690" s="48"/>
    </row>
    <row r="691" spans="11:11" x14ac:dyDescent="0.2">
      <c r="K691" s="48"/>
    </row>
    <row r="692" spans="11:11" x14ac:dyDescent="0.2">
      <c r="K692" s="48"/>
    </row>
    <row r="693" spans="11:11" x14ac:dyDescent="0.2">
      <c r="K693" s="48"/>
    </row>
    <row r="694" spans="11:11" x14ac:dyDescent="0.2">
      <c r="K694" s="48"/>
    </row>
    <row r="695" spans="11:11" x14ac:dyDescent="0.2">
      <c r="K695" s="48"/>
    </row>
    <row r="696" spans="11:11" x14ac:dyDescent="0.2">
      <c r="K696" s="48"/>
    </row>
    <row r="697" spans="11:11" x14ac:dyDescent="0.2">
      <c r="K697" s="48"/>
    </row>
    <row r="698" spans="11:11" x14ac:dyDescent="0.2">
      <c r="K698" s="48"/>
    </row>
    <row r="699" spans="11:11" x14ac:dyDescent="0.2">
      <c r="K699" s="48"/>
    </row>
    <row r="700" spans="11:11" x14ac:dyDescent="0.2">
      <c r="K700" s="48"/>
    </row>
    <row r="701" spans="11:11" x14ac:dyDescent="0.2">
      <c r="K701" s="48"/>
    </row>
    <row r="702" spans="11:11" x14ac:dyDescent="0.2">
      <c r="K702" s="48"/>
    </row>
    <row r="703" spans="11:11" x14ac:dyDescent="0.2">
      <c r="K703" s="48"/>
    </row>
    <row r="704" spans="11:11" x14ac:dyDescent="0.2">
      <c r="K704" s="48"/>
    </row>
    <row r="705" spans="11:11" x14ac:dyDescent="0.2">
      <c r="K705" s="48"/>
    </row>
    <row r="706" spans="11:11" x14ac:dyDescent="0.2">
      <c r="K706" s="48"/>
    </row>
    <row r="707" spans="11:11" x14ac:dyDescent="0.2">
      <c r="K707" s="48"/>
    </row>
    <row r="708" spans="11:11" x14ac:dyDescent="0.2">
      <c r="K708" s="48"/>
    </row>
    <row r="709" spans="11:11" x14ac:dyDescent="0.2">
      <c r="K709" s="48"/>
    </row>
    <row r="710" spans="11:11" x14ac:dyDescent="0.2">
      <c r="K710" s="48"/>
    </row>
    <row r="711" spans="11:11" x14ac:dyDescent="0.2">
      <c r="K711" s="48"/>
    </row>
    <row r="712" spans="11:11" x14ac:dyDescent="0.2">
      <c r="K712" s="48"/>
    </row>
    <row r="713" spans="11:11" x14ac:dyDescent="0.2">
      <c r="K713" s="48"/>
    </row>
    <row r="714" spans="11:11" x14ac:dyDescent="0.2">
      <c r="K714" s="48"/>
    </row>
    <row r="715" spans="11:11" x14ac:dyDescent="0.2">
      <c r="K715" s="48"/>
    </row>
    <row r="716" spans="11:11" x14ac:dyDescent="0.2">
      <c r="K716" s="48"/>
    </row>
    <row r="717" spans="11:11" x14ac:dyDescent="0.2">
      <c r="K717" s="48"/>
    </row>
    <row r="718" spans="11:11" x14ac:dyDescent="0.2">
      <c r="K718" s="48"/>
    </row>
    <row r="719" spans="11:11" x14ac:dyDescent="0.2">
      <c r="K719" s="48"/>
    </row>
    <row r="720" spans="11:11" x14ac:dyDescent="0.2">
      <c r="K720" s="48"/>
    </row>
    <row r="721" spans="11:11" x14ac:dyDescent="0.2">
      <c r="K721" s="48"/>
    </row>
    <row r="722" spans="11:11" x14ac:dyDescent="0.2">
      <c r="K722" s="48"/>
    </row>
    <row r="723" spans="11:11" x14ac:dyDescent="0.2">
      <c r="K723" s="48"/>
    </row>
    <row r="724" spans="11:11" x14ac:dyDescent="0.2">
      <c r="K724" s="48"/>
    </row>
    <row r="725" spans="11:11" x14ac:dyDescent="0.2">
      <c r="K725" s="48"/>
    </row>
    <row r="726" spans="11:11" x14ac:dyDescent="0.2">
      <c r="K726" s="48"/>
    </row>
    <row r="727" spans="11:11" x14ac:dyDescent="0.2">
      <c r="K727" s="48"/>
    </row>
    <row r="728" spans="11:11" x14ac:dyDescent="0.2">
      <c r="K728" s="48"/>
    </row>
    <row r="729" spans="11:11" x14ac:dyDescent="0.2">
      <c r="K729" s="48"/>
    </row>
    <row r="730" spans="11:11" x14ac:dyDescent="0.2">
      <c r="K730" s="48"/>
    </row>
    <row r="731" spans="11:11" x14ac:dyDescent="0.2">
      <c r="K731" s="48"/>
    </row>
    <row r="732" spans="11:11" x14ac:dyDescent="0.2">
      <c r="K732" s="48"/>
    </row>
    <row r="733" spans="11:11" x14ac:dyDescent="0.2">
      <c r="K733" s="48"/>
    </row>
    <row r="734" spans="11:11" x14ac:dyDescent="0.2">
      <c r="K734" s="48"/>
    </row>
    <row r="735" spans="11:11" x14ac:dyDescent="0.2">
      <c r="K735" s="48"/>
    </row>
    <row r="736" spans="11:11" x14ac:dyDescent="0.2">
      <c r="K736" s="48"/>
    </row>
    <row r="737" spans="11:11" x14ac:dyDescent="0.2">
      <c r="K737" s="48"/>
    </row>
    <row r="738" spans="11:11" x14ac:dyDescent="0.2">
      <c r="K738" s="48"/>
    </row>
    <row r="739" spans="11:11" x14ac:dyDescent="0.2">
      <c r="K739" s="48"/>
    </row>
    <row r="740" spans="11:11" x14ac:dyDescent="0.2">
      <c r="K740" s="48"/>
    </row>
    <row r="741" spans="11:11" x14ac:dyDescent="0.2">
      <c r="K741" s="48"/>
    </row>
    <row r="742" spans="11:11" x14ac:dyDescent="0.2">
      <c r="K742" s="48"/>
    </row>
    <row r="743" spans="11:11" x14ac:dyDescent="0.2">
      <c r="K743" s="48"/>
    </row>
    <row r="744" spans="11:11" x14ac:dyDescent="0.2">
      <c r="K744" s="48"/>
    </row>
    <row r="745" spans="11:11" x14ac:dyDescent="0.2">
      <c r="K745" s="48"/>
    </row>
    <row r="746" spans="11:11" x14ac:dyDescent="0.2">
      <c r="K746" s="48"/>
    </row>
    <row r="747" spans="11:11" x14ac:dyDescent="0.2">
      <c r="K747" s="48"/>
    </row>
    <row r="748" spans="11:11" x14ac:dyDescent="0.2">
      <c r="K748" s="48"/>
    </row>
    <row r="749" spans="11:11" x14ac:dyDescent="0.2">
      <c r="K749" s="48"/>
    </row>
    <row r="750" spans="11:11" x14ac:dyDescent="0.2">
      <c r="K750" s="48"/>
    </row>
    <row r="751" spans="11:11" x14ac:dyDescent="0.2">
      <c r="K751" s="48"/>
    </row>
    <row r="752" spans="11:11" x14ac:dyDescent="0.2">
      <c r="K752" s="48"/>
    </row>
    <row r="753" spans="11:11" x14ac:dyDescent="0.2">
      <c r="K753" s="48"/>
    </row>
    <row r="754" spans="11:11" x14ac:dyDescent="0.2">
      <c r="K754" s="48"/>
    </row>
    <row r="755" spans="11:11" x14ac:dyDescent="0.2">
      <c r="K755" s="48"/>
    </row>
    <row r="756" spans="11:11" x14ac:dyDescent="0.2">
      <c r="K756" s="48"/>
    </row>
    <row r="757" spans="11:11" x14ac:dyDescent="0.2">
      <c r="K757" s="48"/>
    </row>
    <row r="758" spans="11:11" x14ac:dyDescent="0.2">
      <c r="K758" s="48"/>
    </row>
    <row r="759" spans="11:11" x14ac:dyDescent="0.2">
      <c r="K759" s="48"/>
    </row>
    <row r="760" spans="11:11" x14ac:dyDescent="0.2">
      <c r="K760" s="48"/>
    </row>
    <row r="761" spans="11:11" x14ac:dyDescent="0.2">
      <c r="K761" s="48"/>
    </row>
    <row r="762" spans="11:11" x14ac:dyDescent="0.2">
      <c r="K762" s="48"/>
    </row>
    <row r="763" spans="11:11" x14ac:dyDescent="0.2">
      <c r="K763" s="48"/>
    </row>
    <row r="764" spans="11:11" x14ac:dyDescent="0.2">
      <c r="K764" s="48"/>
    </row>
    <row r="765" spans="11:11" x14ac:dyDescent="0.2">
      <c r="K765" s="48"/>
    </row>
    <row r="766" spans="11:11" x14ac:dyDescent="0.2">
      <c r="K766" s="48"/>
    </row>
    <row r="767" spans="11:11" x14ac:dyDescent="0.2">
      <c r="K767" s="48"/>
    </row>
    <row r="768" spans="11:11" x14ac:dyDescent="0.2">
      <c r="K768" s="48"/>
    </row>
    <row r="769" spans="11:11" x14ac:dyDescent="0.2">
      <c r="K769" s="48"/>
    </row>
    <row r="770" spans="11:11" x14ac:dyDescent="0.2">
      <c r="K770" s="48"/>
    </row>
    <row r="771" spans="11:11" x14ac:dyDescent="0.2">
      <c r="K771" s="48"/>
    </row>
    <row r="772" spans="11:11" x14ac:dyDescent="0.2">
      <c r="K772" s="48"/>
    </row>
    <row r="773" spans="11:11" x14ac:dyDescent="0.2">
      <c r="K773" s="48"/>
    </row>
    <row r="774" spans="11:11" x14ac:dyDescent="0.2">
      <c r="K774" s="48"/>
    </row>
    <row r="775" spans="11:11" x14ac:dyDescent="0.2">
      <c r="K775" s="48"/>
    </row>
    <row r="776" spans="11:11" x14ac:dyDescent="0.2">
      <c r="K776" s="48"/>
    </row>
    <row r="777" spans="11:11" x14ac:dyDescent="0.2">
      <c r="K777" s="48"/>
    </row>
    <row r="778" spans="11:11" x14ac:dyDescent="0.2">
      <c r="K778" s="48"/>
    </row>
    <row r="779" spans="11:11" x14ac:dyDescent="0.2">
      <c r="K779" s="48"/>
    </row>
    <row r="780" spans="11:11" x14ac:dyDescent="0.2">
      <c r="K780" s="48"/>
    </row>
    <row r="781" spans="11:11" x14ac:dyDescent="0.2">
      <c r="K781" s="48"/>
    </row>
    <row r="782" spans="11:11" x14ac:dyDescent="0.2">
      <c r="K782" s="48"/>
    </row>
    <row r="783" spans="11:11" x14ac:dyDescent="0.2">
      <c r="K783" s="48"/>
    </row>
    <row r="784" spans="11:11" x14ac:dyDescent="0.2">
      <c r="K784" s="48"/>
    </row>
    <row r="785" spans="11:11" x14ac:dyDescent="0.2">
      <c r="K785" s="48"/>
    </row>
    <row r="786" spans="11:11" x14ac:dyDescent="0.2">
      <c r="K786" s="48"/>
    </row>
    <row r="787" spans="11:11" x14ac:dyDescent="0.2">
      <c r="K787" s="48"/>
    </row>
    <row r="788" spans="11:11" x14ac:dyDescent="0.2">
      <c r="K788" s="48"/>
    </row>
    <row r="789" spans="11:11" x14ac:dyDescent="0.2">
      <c r="K789" s="48"/>
    </row>
    <row r="790" spans="11:11" x14ac:dyDescent="0.2">
      <c r="K790" s="48"/>
    </row>
    <row r="791" spans="11:11" x14ac:dyDescent="0.2">
      <c r="K791" s="48"/>
    </row>
    <row r="792" spans="11:11" x14ac:dyDescent="0.2">
      <c r="K792" s="48"/>
    </row>
    <row r="793" spans="11:11" x14ac:dyDescent="0.2">
      <c r="K793" s="48"/>
    </row>
    <row r="794" spans="11:11" x14ac:dyDescent="0.2">
      <c r="K794" s="48"/>
    </row>
    <row r="795" spans="11:11" x14ac:dyDescent="0.2">
      <c r="K795" s="48"/>
    </row>
    <row r="796" spans="11:11" x14ac:dyDescent="0.2">
      <c r="K796" s="48"/>
    </row>
    <row r="797" spans="11:11" x14ac:dyDescent="0.2">
      <c r="K797" s="48"/>
    </row>
    <row r="798" spans="11:11" x14ac:dyDescent="0.2">
      <c r="K798" s="48"/>
    </row>
    <row r="799" spans="11:11" x14ac:dyDescent="0.2">
      <c r="K799" s="48"/>
    </row>
    <row r="800" spans="11:11" x14ac:dyDescent="0.2">
      <c r="K800" s="48"/>
    </row>
    <row r="801" spans="11:11" x14ac:dyDescent="0.2">
      <c r="K801" s="48"/>
    </row>
    <row r="802" spans="11:11" x14ac:dyDescent="0.2">
      <c r="K802" s="48"/>
    </row>
    <row r="803" spans="11:11" x14ac:dyDescent="0.2">
      <c r="K803" s="48"/>
    </row>
    <row r="804" spans="11:11" x14ac:dyDescent="0.2">
      <c r="K804" s="48"/>
    </row>
    <row r="805" spans="11:11" x14ac:dyDescent="0.2">
      <c r="K805" s="48"/>
    </row>
    <row r="806" spans="11:11" x14ac:dyDescent="0.2">
      <c r="K806" s="4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29f6880-ab3a-4947-817c-0ce782a1c2a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6B7EFBF735E64A8A179D683A84D648" ma:contentTypeVersion="12" ma:contentTypeDescription="Create a new document." ma:contentTypeScope="" ma:versionID="d2ea05259fc4b965327486e9bc3525fb">
  <xsd:schema xmlns:xsd="http://www.w3.org/2001/XMLSchema" xmlns:xs="http://www.w3.org/2001/XMLSchema" xmlns:p="http://schemas.microsoft.com/office/2006/metadata/properties" xmlns:ns3="a29f6880-ab3a-4947-817c-0ce782a1c2a7" xmlns:ns4="0ce070a3-87f8-4551-8713-2e4c92f02c5c" targetNamespace="http://schemas.microsoft.com/office/2006/metadata/properties" ma:root="true" ma:fieldsID="179157e1cb6bef47c84037fc9a0ef251" ns3:_="" ns4:_="">
    <xsd:import namespace="a29f6880-ab3a-4947-817c-0ce782a1c2a7"/>
    <xsd:import namespace="0ce070a3-87f8-4551-8713-2e4c92f02c5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9f6880-ab3a-4947-817c-0ce782a1c2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Location" ma:index="15" nillable="true" ma:displayName="Location" ma:description="" ma:indexed="true" ma:internalName="MediaServiceLocation"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e070a3-87f8-4551-8713-2e4c92f02c5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4B7173-B4CB-40E2-96CC-839155B33095}">
  <ds:schemaRefs>
    <ds:schemaRef ds:uri="http://purl.org/dc/dcmitype/"/>
    <ds:schemaRef ds:uri="http://schemas.microsoft.com/office/2006/documentManagement/types"/>
    <ds:schemaRef ds:uri="http://purl.org/dc/elements/1.1/"/>
    <ds:schemaRef ds:uri="a29f6880-ab3a-4947-817c-0ce782a1c2a7"/>
    <ds:schemaRef ds:uri="http://www.w3.org/XML/1998/namespace"/>
    <ds:schemaRef ds:uri="http://purl.org/dc/terms/"/>
    <ds:schemaRef ds:uri="http://schemas.openxmlformats.org/package/2006/metadata/core-properties"/>
    <ds:schemaRef ds:uri="http://schemas.microsoft.com/office/infopath/2007/PartnerControls"/>
    <ds:schemaRef ds:uri="0ce070a3-87f8-4551-8713-2e4c92f02c5c"/>
    <ds:schemaRef ds:uri="http://schemas.microsoft.com/office/2006/metadata/properties"/>
  </ds:schemaRefs>
</ds:datastoreItem>
</file>

<file path=customXml/itemProps2.xml><?xml version="1.0" encoding="utf-8"?>
<ds:datastoreItem xmlns:ds="http://schemas.openxmlformats.org/officeDocument/2006/customXml" ds:itemID="{33DEB9E7-C927-4C7E-B976-9681A92D07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9f6880-ab3a-4947-817c-0ce782a1c2a7"/>
    <ds:schemaRef ds:uri="0ce070a3-87f8-4551-8713-2e4c92f02c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46ED09-CFA4-4628-AF08-7EBF619BC6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Data_description</vt:lpstr>
      <vt:lpstr>Jul18Jan20cm_withnotes</vt:lpstr>
      <vt:lpstr>Jul18Jan20_m_tidy</vt:lpstr>
      <vt:lpstr>Surface_oscillation_magnitude</vt:lpstr>
      <vt:lpstr>Bulk_density</vt:lpstr>
      <vt:lpstr>RockEval_parameters</vt:lpstr>
      <vt:lpstr>Automated_datasets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TCB-Martha</dc:creator>
  <cp:lastModifiedBy>Martha Jane Ledger</cp:lastModifiedBy>
  <dcterms:created xsi:type="dcterms:W3CDTF">2023-05-18T03:46:33Z</dcterms:created>
  <dcterms:modified xsi:type="dcterms:W3CDTF">2023-07-25T01:10:29Z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0x010100786B7EFBF735E64A8A179D683A84D648</vt:lpwstr>
  </property>
</Properties>
</file>