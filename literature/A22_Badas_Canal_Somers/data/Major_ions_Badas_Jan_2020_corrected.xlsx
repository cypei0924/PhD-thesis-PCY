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somers/Documents/Tropical Peatlands Research/Badas_inorganic_chem/"/>
    </mc:Choice>
  </mc:AlternateContent>
  <xr:revisionPtr revIDLastSave="0" documentId="13_ncr:1_{B0624995-0D5F-7149-811D-E185F5A8B7C6}" xr6:coauthVersionLast="46" xr6:coauthVersionMax="46" xr10:uidLastSave="{00000000-0000-0000-0000-000000000000}"/>
  <bookViews>
    <workbookView xWindow="2440" yWindow="460" windowWidth="21440" windowHeight="14140" activeTab="4" xr2:uid="{8425DA44-EECC-6544-9DAF-C7928C826714}"/>
  </bookViews>
  <sheets>
    <sheet name="PT1-30W" sheetId="2" r:id="rId1"/>
    <sheet name="PT1-60W" sheetId="1" r:id="rId2"/>
    <sheet name="PT1-150W" sheetId="3" r:id="rId3"/>
    <sheet name="PT1-400W" sheetId="4" r:id="rId4"/>
    <sheet name="PT1-D1" sheetId="5" r:id="rId5"/>
    <sheet name="PT1-60E" sheetId="6" r:id="rId6"/>
    <sheet name="Canal" sheetId="7" r:id="rId7"/>
    <sheet name="Sheet1" sheetId="9" r:id="rId8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9" l="1"/>
  <c r="D8" i="9"/>
  <c r="E8" i="9"/>
  <c r="C8" i="9"/>
</calcChain>
</file>

<file path=xl/sharedStrings.xml><?xml version="1.0" encoding="utf-8"?>
<sst xmlns="http://schemas.openxmlformats.org/spreadsheetml/2006/main" count="385" uniqueCount="129">
  <si>
    <t>Depth</t>
  </si>
  <si>
    <t>Sample ID</t>
  </si>
  <si>
    <t>DIC (mM)</t>
  </si>
  <si>
    <t>ẟ13C - DIC (‰)</t>
  </si>
  <si>
    <t>CH4 (mM)</t>
  </si>
  <si>
    <t>ẟ13C - CH4 (‰)</t>
  </si>
  <si>
    <t>PT1-30W-0.3 DIC</t>
  </si>
  <si>
    <t>PT1-30W-0.6 DIC</t>
  </si>
  <si>
    <t>PT1-30W-0.9 DIC</t>
  </si>
  <si>
    <t>PT1-30W-1.3 DIC</t>
  </si>
  <si>
    <t>Distance downstream (m)</t>
  </si>
  <si>
    <r>
      <t>F</t>
    </r>
    <r>
      <rPr>
        <vertAlign val="superscript"/>
        <sz val="12"/>
        <color indexed="8"/>
        <rFont val="Calibri"/>
        <family val="2"/>
      </rPr>
      <t>-</t>
    </r>
  </si>
  <si>
    <r>
      <t>Cl</t>
    </r>
    <r>
      <rPr>
        <vertAlign val="superscript"/>
        <sz val="12"/>
        <color indexed="8"/>
        <rFont val="Calibri"/>
        <family val="2"/>
      </rPr>
      <t>-</t>
    </r>
  </si>
  <si>
    <r>
      <t>N-NO</t>
    </r>
    <r>
      <rPr>
        <vertAlign val="subscript"/>
        <sz val="12"/>
        <color indexed="8"/>
        <rFont val="Calibri"/>
        <family val="2"/>
      </rPr>
      <t>2</t>
    </r>
    <r>
      <rPr>
        <vertAlign val="superscript"/>
        <sz val="12"/>
        <color indexed="8"/>
        <rFont val="Calibri"/>
        <family val="2"/>
      </rPr>
      <t>-</t>
    </r>
  </si>
  <si>
    <r>
      <t>Br</t>
    </r>
    <r>
      <rPr>
        <vertAlign val="superscript"/>
        <sz val="12"/>
        <color indexed="8"/>
        <rFont val="Calibri"/>
        <family val="2"/>
      </rPr>
      <t>-</t>
    </r>
  </si>
  <si>
    <r>
      <t>N-NO</t>
    </r>
    <r>
      <rPr>
        <vertAlign val="subscript"/>
        <sz val="12"/>
        <color indexed="8"/>
        <rFont val="Calibri"/>
        <family val="2"/>
      </rPr>
      <t>3</t>
    </r>
    <r>
      <rPr>
        <vertAlign val="superscript"/>
        <sz val="12"/>
        <color indexed="8"/>
        <rFont val="Calibri"/>
        <family val="2"/>
      </rPr>
      <t>-</t>
    </r>
  </si>
  <si>
    <r>
      <t>S-SO</t>
    </r>
    <r>
      <rPr>
        <vertAlign val="subscript"/>
        <sz val="12"/>
        <color indexed="8"/>
        <rFont val="Calibri"/>
        <family val="2"/>
      </rPr>
      <t>4</t>
    </r>
    <r>
      <rPr>
        <vertAlign val="superscript"/>
        <sz val="12"/>
        <color indexed="8"/>
        <rFont val="Calibri"/>
        <family val="2"/>
      </rPr>
      <t>2-</t>
    </r>
  </si>
  <si>
    <r>
      <t>P-PO</t>
    </r>
    <r>
      <rPr>
        <vertAlign val="subscript"/>
        <sz val="12"/>
        <color indexed="8"/>
        <rFont val="Calibri"/>
        <family val="2"/>
      </rPr>
      <t>4</t>
    </r>
    <r>
      <rPr>
        <vertAlign val="superscript"/>
        <sz val="12"/>
        <color indexed="8"/>
        <rFont val="Calibri"/>
        <family val="2"/>
      </rPr>
      <t>3-</t>
    </r>
  </si>
  <si>
    <r>
      <t>Na</t>
    </r>
    <r>
      <rPr>
        <vertAlign val="superscript"/>
        <sz val="12"/>
        <rFont val="Calibri"/>
        <family val="2"/>
      </rPr>
      <t>+</t>
    </r>
  </si>
  <si>
    <r>
      <t>N-NH</t>
    </r>
    <r>
      <rPr>
        <vertAlign val="subscript"/>
        <sz val="12"/>
        <rFont val="Calibri"/>
        <family val="2"/>
      </rPr>
      <t>4</t>
    </r>
    <r>
      <rPr>
        <vertAlign val="superscript"/>
        <sz val="12"/>
        <rFont val="Calibri"/>
        <family val="2"/>
      </rPr>
      <t>+</t>
    </r>
  </si>
  <si>
    <r>
      <t>K</t>
    </r>
    <r>
      <rPr>
        <vertAlign val="superscript"/>
        <sz val="12"/>
        <rFont val="Calibri"/>
        <family val="2"/>
      </rPr>
      <t>+</t>
    </r>
  </si>
  <si>
    <r>
      <t>Mg</t>
    </r>
    <r>
      <rPr>
        <vertAlign val="superscript"/>
        <sz val="12"/>
        <rFont val="Calibri"/>
        <family val="2"/>
      </rPr>
      <t>2+</t>
    </r>
  </si>
  <si>
    <r>
      <t>Ca</t>
    </r>
    <r>
      <rPr>
        <vertAlign val="superscript"/>
        <sz val="12"/>
        <rFont val="Calibri"/>
        <family val="2"/>
      </rPr>
      <t>2+</t>
    </r>
  </si>
  <si>
    <t>n.a.</t>
  </si>
  <si>
    <t xml:space="preserve">PT1-30W-0.3  </t>
  </si>
  <si>
    <t xml:space="preserve">PT1-30W-0.6  </t>
  </si>
  <si>
    <t xml:space="preserve">PT1-30W-0.9  </t>
  </si>
  <si>
    <t xml:space="preserve">PT1-30W-1.3  </t>
  </si>
  <si>
    <t xml:space="preserve">PT1-30W-1.7  </t>
  </si>
  <si>
    <t xml:space="preserve">PT1-30W-2.0  </t>
  </si>
  <si>
    <t xml:space="preserve">PT1-30W-2.5  </t>
  </si>
  <si>
    <t xml:space="preserve">PT1-30W-3.0  </t>
  </si>
  <si>
    <t>PT1-30W-3.0  Duplicate</t>
  </si>
  <si>
    <t xml:space="preserve">PT1-30W-3.5  </t>
  </si>
  <si>
    <t xml:space="preserve">PT1-30W-4.0  </t>
  </si>
  <si>
    <t xml:space="preserve">PT1-30W-4.5  </t>
  </si>
  <si>
    <t xml:space="preserve">PT1-30W-5.5  </t>
  </si>
  <si>
    <t xml:space="preserve">PT1-30W-5.7  </t>
  </si>
  <si>
    <t xml:space="preserve">PT1-60W-0.3  </t>
  </si>
  <si>
    <t xml:space="preserve">PT1-60W-0.6  </t>
  </si>
  <si>
    <t xml:space="preserve">PT1-60W-0.9  </t>
  </si>
  <si>
    <t xml:space="preserve">PT1-60W-1.2  </t>
  </si>
  <si>
    <t xml:space="preserve">PT1-60W-1.6  </t>
  </si>
  <si>
    <t xml:space="preserve">PT1-60W-2.0  </t>
  </si>
  <si>
    <t xml:space="preserve">PT1-60W-2.5  </t>
  </si>
  <si>
    <t xml:space="preserve">PT1-60W-3.0  </t>
  </si>
  <si>
    <t xml:space="preserve">PT1-60W-3.5  </t>
  </si>
  <si>
    <t xml:space="preserve">PT1-60W-4.0  </t>
  </si>
  <si>
    <t xml:space="preserve">PT1-60W-4.5  </t>
  </si>
  <si>
    <t xml:space="preserve">PT1-60W-5.5  </t>
  </si>
  <si>
    <t xml:space="preserve">PT1-150W-0.3  </t>
  </si>
  <si>
    <t xml:space="preserve">PT1-150W-0.6  </t>
  </si>
  <si>
    <t xml:space="preserve">PT1-150W-0.9  </t>
  </si>
  <si>
    <t>PT1-150W-0.9   Duplicate</t>
  </si>
  <si>
    <t>PT1-150W-0.9   Triplicate</t>
  </si>
  <si>
    <t xml:space="preserve">PT1-150W-1.3  </t>
  </si>
  <si>
    <t xml:space="preserve">PT1-150W-1.8  </t>
  </si>
  <si>
    <t xml:space="preserve">PT1-150W-2.4  </t>
  </si>
  <si>
    <t xml:space="preserve">PT1-150W-3.0  </t>
  </si>
  <si>
    <t xml:space="preserve">PT1-150W-3.5  </t>
  </si>
  <si>
    <t xml:space="preserve">PT1-150W-4.0  </t>
  </si>
  <si>
    <t xml:space="preserve">PT1-150W-4.5  </t>
  </si>
  <si>
    <t xml:space="preserve">PT1-150W-5.0  </t>
  </si>
  <si>
    <t xml:space="preserve">PT1-150W-5.5  </t>
  </si>
  <si>
    <t xml:space="preserve">PT1-150W-6.0  </t>
  </si>
  <si>
    <t xml:space="preserve">PT1-150W-6.5  </t>
  </si>
  <si>
    <t>PT1-150W-6.5   Dup</t>
  </si>
  <si>
    <t xml:space="preserve">PT1-150W-6.8  </t>
  </si>
  <si>
    <t xml:space="preserve">PT1-400W-0.3  </t>
  </si>
  <si>
    <t xml:space="preserve">PT1-400W-0.6  </t>
  </si>
  <si>
    <t xml:space="preserve">PT1-400W-0.9  </t>
  </si>
  <si>
    <t xml:space="preserve">PT1-400W-1.3  </t>
  </si>
  <si>
    <t xml:space="preserve">PT1-400W-1.8  </t>
  </si>
  <si>
    <t>PT1-400W-1.8   duplicate</t>
  </si>
  <si>
    <t xml:space="preserve">PT1-400W-2.4  </t>
  </si>
  <si>
    <t xml:space="preserve">PT1-400W-3.0  </t>
  </si>
  <si>
    <t xml:space="preserve">PT1-400W-3.5  </t>
  </si>
  <si>
    <t xml:space="preserve">PT1-400W-4.0  </t>
  </si>
  <si>
    <t xml:space="preserve">PT1-400W-3.5B  </t>
  </si>
  <si>
    <t xml:space="preserve">PT1-400W-4.0B  </t>
  </si>
  <si>
    <t xml:space="preserve">PT1-400W-4.5  </t>
  </si>
  <si>
    <t xml:space="preserve">PT1-400W-5.0  </t>
  </si>
  <si>
    <t xml:space="preserve">PT1-400W-5.5  </t>
  </si>
  <si>
    <t xml:space="preserve">PT1-400W-6.0  </t>
  </si>
  <si>
    <t xml:space="preserve">PT1-400W-6.5  </t>
  </si>
  <si>
    <t xml:space="preserve">PT1-D1-0.1  </t>
  </si>
  <si>
    <t xml:space="preserve">PT1-D1-0.2  </t>
  </si>
  <si>
    <t xml:space="preserve">PT1-D1-0.3  </t>
  </si>
  <si>
    <t xml:space="preserve">PT1-D1-0.5  </t>
  </si>
  <si>
    <t xml:space="preserve">PT1-D1-0.75  </t>
  </si>
  <si>
    <t xml:space="preserve">PT1-D1-1.0  </t>
  </si>
  <si>
    <t xml:space="preserve">PT1-D1-1.25  </t>
  </si>
  <si>
    <t xml:space="preserve">PT1-D1-2.08  </t>
  </si>
  <si>
    <t xml:space="preserve">PT1-D1-2.5  </t>
  </si>
  <si>
    <t xml:space="preserve">PT1-D1-3.0  </t>
  </si>
  <si>
    <t xml:space="preserve">PT1-D1-4.0  </t>
  </si>
  <si>
    <t xml:space="preserve">PT1-D1-4.5  </t>
  </si>
  <si>
    <t xml:space="preserve">PT1-D1-5.0  </t>
  </si>
  <si>
    <t xml:space="preserve">PT1-D1-5.5  </t>
  </si>
  <si>
    <t xml:space="preserve">PT1-D1-6.0  </t>
  </si>
  <si>
    <t xml:space="preserve">PT1-D1-6.5  </t>
  </si>
  <si>
    <t xml:space="preserve">PT1-60E-0.3  </t>
  </si>
  <si>
    <t xml:space="preserve">PT1-60E-0.6  </t>
  </si>
  <si>
    <t xml:space="preserve">PT1-60E-0.9  </t>
  </si>
  <si>
    <t xml:space="preserve">PT1-60E-1.3  </t>
  </si>
  <si>
    <t xml:space="preserve">PT1-60E-1.7  </t>
  </si>
  <si>
    <t xml:space="preserve">PT1-60E-2.1  </t>
  </si>
  <si>
    <t xml:space="preserve">PT1-60E-2.5  </t>
  </si>
  <si>
    <t xml:space="preserve">PT1-60E-3.0  </t>
  </si>
  <si>
    <t xml:space="preserve">PT1-60E-3.5  </t>
  </si>
  <si>
    <t xml:space="preserve">PT1-60E-4.0  </t>
  </si>
  <si>
    <t xml:space="preserve">PT1-60E-4.5  </t>
  </si>
  <si>
    <t xml:space="preserve">PT1-60E-5.0  </t>
  </si>
  <si>
    <t xml:space="preserve">PT1-60E-5.5  </t>
  </si>
  <si>
    <t xml:space="preserve">PT1-60E-6.0  </t>
  </si>
  <si>
    <t xml:space="preserve">PT1-60E-6.5  </t>
  </si>
  <si>
    <t xml:space="preserve">CW1  </t>
  </si>
  <si>
    <t xml:space="preserve">CW2  </t>
  </si>
  <si>
    <t xml:space="preserve">CW3  </t>
  </si>
  <si>
    <t xml:space="preserve">CW4  </t>
  </si>
  <si>
    <t xml:space="preserve">CW5  </t>
  </si>
  <si>
    <t xml:space="preserve">CW6  </t>
  </si>
  <si>
    <t xml:space="preserve">CW7  </t>
  </si>
  <si>
    <t xml:space="preserve">CW8  </t>
  </si>
  <si>
    <t xml:space="preserve">CW9  </t>
  </si>
  <si>
    <t xml:space="preserve">CW10  </t>
  </si>
  <si>
    <t xml:space="preserve">CW11  </t>
  </si>
  <si>
    <t xml:space="preserve">CW12  </t>
  </si>
  <si>
    <t xml:space="preserve">CUL-1A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</si>
</sst>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10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vertAlign val="superscript"/>
      <sz val="12"/>
      <color indexed="8"/>
      <name val="Calibri"/>
      <family val="2"/>
    </font>
    <font>
      <vertAlign val="subscript"/>
      <sz val="12"/>
      <color indexed="8"/>
      <name val="Calibri"/>
      <family val="2"/>
    </font>
    <font>
      <sz val="12"/>
      <name val="Calibri"/>
      <family val="2"/>
    </font>
    <font>
      <vertAlign val="superscript"/>
      <sz val="12"/>
      <name val="Calibri"/>
      <family val="2"/>
    </font>
    <font>
      <vertAlign val="subscript"/>
      <sz val="12"/>
      <name val="Calibri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left"/>
    </xf>
    <xf numFmtId="0" fontId="0" fillId="0" borderId="0" xfId="0" applyFill="1"/>
    <xf numFmtId="2" fontId="1" fillId="0" borderId="0" xfId="0" applyNumberFormat="1" applyFont="1" applyFill="1" applyAlignment="1">
      <alignment horizontal="right"/>
    </xf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Border="1"/>
    <xf numFmtId="0" fontId="5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/>
    <xf numFmtId="0" fontId="8" fillId="0" borderId="0" xfId="0" applyFont="1" applyBorder="1" applyAlignment="1">
      <alignment horizontal="right"/>
    </xf>
    <xf numFmtId="2" fontId="8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DIC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</c:f>
              <c:numCache>
                <c:formatCode>General</c:formatCode>
                <c:ptCount val="4"/>
                <c:pt idx="0">
                  <c:v>0.3</c:v>
                </c:pt>
                <c:pt idx="1">
                  <c:v>0.6</c:v>
                </c:pt>
                <c:pt idx="2">
                  <c:v>0.9</c:v>
                </c:pt>
                <c:pt idx="3">
                  <c:v>1.3</c:v>
                </c:pt>
              </c:numCache>
            </c:numRef>
          </c:xVal>
          <c:yVal>
            <c:numRef>
              <c:f>Sheet1!$C$2:$C$5</c:f>
              <c:numCache>
                <c:formatCode>0.00</c:formatCode>
                <c:ptCount val="4"/>
                <c:pt idx="0">
                  <c:v>0.35200999613506206</c:v>
                </c:pt>
                <c:pt idx="1">
                  <c:v>0.4034933651897919</c:v>
                </c:pt>
                <c:pt idx="2">
                  <c:v>0.44511293231673749</c:v>
                </c:pt>
                <c:pt idx="3">
                  <c:v>0.83130916283100842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D-5742-ACB3-6A0A3F371E89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CH4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</c:f>
              <c:numCache>
                <c:formatCode>General</c:formatCode>
                <c:ptCount val="4"/>
                <c:pt idx="0">
                  <c:v>0.3</c:v>
                </c:pt>
                <c:pt idx="1">
                  <c:v>0.6</c:v>
                </c:pt>
                <c:pt idx="2">
                  <c:v>0.9</c:v>
                </c:pt>
                <c:pt idx="3">
                  <c:v>1.3</c:v>
                </c:pt>
              </c:numCache>
            </c:numRef>
          </c:xVal>
          <c:yVal>
            <c:numRef>
              <c:f>Sheet1!$E$2:$E$5</c:f>
              <c:numCache>
                <c:formatCode>0.0000</c:formatCode>
                <c:ptCount val="4"/>
                <c:pt idx="0">
                  <c:v>2.4262945425364075E-2</c:v>
                </c:pt>
                <c:pt idx="1">
                  <c:v>4.0057936685731863E-2</c:v>
                </c:pt>
                <c:pt idx="2">
                  <c:v>7.3408511356041872E-2</c:v>
                </c:pt>
                <c:pt idx="3">
                  <c:v>0.18206411071553263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D-5742-ACB3-6A0A3F371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9743"/>
        <c:axId val="116805391"/>
      </c:scatterChart>
      <c:valAx>
        <c:axId val="11682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05391"/>
        <c:crosses val="autoZero"/>
        <c:crossBetween val="midCat"/>
      </c:valAx>
      <c:valAx>
        <c:axId val="1168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2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ẟ13C - DIC (‰)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</c:f>
              <c:numCache>
                <c:formatCode>General</c:formatCode>
                <c:ptCount val="4"/>
                <c:pt idx="0">
                  <c:v>0.3</c:v>
                </c:pt>
                <c:pt idx="1">
                  <c:v>0.6</c:v>
                </c:pt>
                <c:pt idx="2">
                  <c:v>0.9</c:v>
                </c:pt>
                <c:pt idx="3">
                  <c:v>1.3</c:v>
                </c:pt>
              </c:numCache>
            </c:numRef>
          </c:xVal>
          <c:yVal>
            <c:numRef>
              <c:f>Sheet1!$D$2:$D$5</c:f>
              <c:numCache>
                <c:formatCode>0.00</c:formatCode>
                <c:ptCount val="4"/>
                <c:pt idx="0">
                  <c:v>-24.618223400021716</c:v>
                </c:pt>
                <c:pt idx="1">
                  <c:v>-20.8825727186099</c:v>
                </c:pt>
                <c:pt idx="2">
                  <c:v>-15.884379353169418</c:v>
                </c:pt>
                <c:pt idx="3">
                  <c:v>-9.5798255915758972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D-C845-9305-F5B685215A95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ẟ13C - CH4 (‰)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</c:f>
              <c:numCache>
                <c:formatCode>General</c:formatCode>
                <c:ptCount val="4"/>
                <c:pt idx="0">
                  <c:v>0.3</c:v>
                </c:pt>
                <c:pt idx="1">
                  <c:v>0.6</c:v>
                </c:pt>
                <c:pt idx="2">
                  <c:v>0.9</c:v>
                </c:pt>
                <c:pt idx="3">
                  <c:v>1.3</c:v>
                </c:pt>
              </c:numCache>
            </c:numRef>
          </c:xVal>
          <c:yVal>
            <c:numRef>
              <c:f>Sheet1!$F$2:$F$5</c:f>
              <c:numCache>
                <c:formatCode>0.00</c:formatCode>
                <c:ptCount val="4"/>
                <c:pt idx="0">
                  <c:v>-54.602446400177833</c:v>
                </c:pt>
                <c:pt idx="1">
                  <c:v>-64.214910142196473</c:v>
                </c:pt>
                <c:pt idx="2">
                  <c:v>-73.376064147357368</c:v>
                </c:pt>
                <c:pt idx="3">
                  <c:v>-78.142679277063309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8D-C845-9305-F5B685215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37807"/>
        <c:axId val="127409471"/>
      </c:scatterChart>
      <c:valAx>
        <c:axId val="12743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471"/>
        <c:crosses val="autoZero"/>
        <c:crossBetween val="midCat"/>
      </c:valAx>
      <c:valAx>
        <c:axId val="1274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7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13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F2B67E-87EF-3048-8EDE-E33C2219BBBC}"/>
            </a:ext>
          </a:extLst>
        </xdr:cNvPr>
        <xdr:cNvSpPr txBox="1"/>
      </xdr:nvSpPr>
      <xdr:spPr>
        <a:xfrm>
          <a:off x="9099550" y="265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12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27A83A-E969-E848-A374-89D3803958DA}"/>
            </a:ext>
          </a:extLst>
        </xdr:cNvPr>
        <xdr:cNvSpPr txBox="1"/>
      </xdr:nvSpPr>
      <xdr:spPr>
        <a:xfrm>
          <a:off x="7346950" y="265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13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2CC866-B677-004F-BD6C-83BF5B09E8C9}"/>
            </a:ext>
          </a:extLst>
        </xdr:cNvPr>
        <xdr:cNvSpPr txBox="1"/>
      </xdr:nvSpPr>
      <xdr:spPr>
        <a:xfrm>
          <a:off x="9099550" y="265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13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122B61-75EE-564A-A226-68D0702D15C9}"/>
            </a:ext>
          </a:extLst>
        </xdr:cNvPr>
        <xdr:cNvSpPr txBox="1"/>
      </xdr:nvSpPr>
      <xdr:spPr>
        <a:xfrm>
          <a:off x="9353550" y="265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13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68A7BF-22D9-8645-9E52-93FC64F98165}"/>
            </a:ext>
          </a:extLst>
        </xdr:cNvPr>
        <xdr:cNvSpPr txBox="1"/>
      </xdr:nvSpPr>
      <xdr:spPr>
        <a:xfrm>
          <a:off x="9353550" y="265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13</xdr:row>
      <xdr:rowOff>12700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D8F726-BC4B-7C43-978E-ABF4F25EAC81}"/>
            </a:ext>
          </a:extLst>
        </xdr:cNvPr>
        <xdr:cNvSpPr txBox="1"/>
      </xdr:nvSpPr>
      <xdr:spPr>
        <a:xfrm>
          <a:off x="9353550" y="2654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10</xdr:row>
      <xdr:rowOff>133350</xdr:rowOff>
    </xdr:from>
    <xdr:to>
      <xdr:col>8</xdr:col>
      <xdr:colOff>76200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63992-9BBE-314D-87E4-81AD2E80A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349250</xdr:colOff>
      <xdr:row>11</xdr:row>
      <xdr:rowOff>31750</xdr:rowOff>
    </xdr:from>
    <xdr:to>
      <xdr:col>15</xdr:col>
      <xdr:colOff>444500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E1D28-6D8F-CF4A-9560-238A8D09D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5661-1CB3-5E4A-8B7B-D1F27F1E2866}">
  <dimension ref="A1:P20"/>
  <sheetViews>
    <sheetView workbookViewId="0">
      <selection sqref="A1:N5"/>
    </sheetView>
  </sheetViews>
  <sheetFormatPr baseColWidth="10" defaultRowHeight="16" x14ac:dyDescent="0.2"/>
  <cols>
    <col min="1" max="1" width="14.6640625" customWidth="1"/>
    <col min="2" max="14" width="10.6640625" customWidth="1"/>
    <col min="15" max="15" width="20.1640625" customWidth="1"/>
  </cols>
  <sheetData>
    <row r="1" spans="1:16" ht="20" x14ac:dyDescent="0.25">
      <c r="A1" s="11" t="s">
        <v>1</v>
      </c>
      <c r="B1" s="11" t="s">
        <v>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  <c r="O1" s="11"/>
      <c r="P1" s="11"/>
    </row>
    <row r="2" spans="1:16" x14ac:dyDescent="0.2">
      <c r="A2" s="13" t="s">
        <v>24</v>
      </c>
      <c r="B2" s="14">
        <v>0.3</v>
      </c>
      <c r="C2" s="15">
        <v>0.01</v>
      </c>
      <c r="D2" s="15">
        <v>3.8014000000000001</v>
      </c>
      <c r="E2" s="15" t="s">
        <v>23</v>
      </c>
      <c r="F2" s="15">
        <v>1.4999999999999999E-2</v>
      </c>
      <c r="G2">
        <v>2.2133540372670808E-3</v>
      </c>
      <c r="H2">
        <v>9.168546475358702E-2</v>
      </c>
      <c r="I2">
        <v>0.15355006457028478</v>
      </c>
      <c r="J2" s="16">
        <v>4.0132579633508918</v>
      </c>
      <c r="K2">
        <v>0.54759405842930575</v>
      </c>
      <c r="L2" s="16">
        <v>0.84743890932960408</v>
      </c>
      <c r="M2" s="16">
        <v>1.0368456143432709</v>
      </c>
      <c r="N2" s="16">
        <v>1.47</v>
      </c>
      <c r="O2" s="11"/>
      <c r="P2" s="11"/>
    </row>
    <row r="3" spans="1:16" x14ac:dyDescent="0.2">
      <c r="A3" s="17" t="s">
        <v>25</v>
      </c>
      <c r="B3" s="11">
        <v>0.6</v>
      </c>
      <c r="C3" s="15">
        <v>0.01</v>
      </c>
      <c r="D3" s="15">
        <v>1.5432999999999999</v>
      </c>
      <c r="E3" s="15">
        <v>9.1964017991004506E-3</v>
      </c>
      <c r="F3" s="15">
        <v>6.0000000000000001E-3</v>
      </c>
      <c r="G3">
        <v>8.8534161490683237E-4</v>
      </c>
      <c r="H3">
        <v>6.5917654398003744E-3</v>
      </c>
      <c r="I3" t="s">
        <v>23</v>
      </c>
      <c r="J3" s="16">
        <v>1.2687058034970902</v>
      </c>
      <c r="K3">
        <v>0.1073597698539777</v>
      </c>
      <c r="L3" s="16">
        <v>0.53775373320679687</v>
      </c>
      <c r="M3" s="16">
        <v>0.53098882274683123</v>
      </c>
      <c r="N3" s="16">
        <v>0.92</v>
      </c>
      <c r="O3" s="11"/>
      <c r="P3" s="11"/>
    </row>
    <row r="4" spans="1:16" x14ac:dyDescent="0.2">
      <c r="A4" s="17" t="s">
        <v>26</v>
      </c>
      <c r="B4" s="11">
        <v>0.9</v>
      </c>
      <c r="C4" s="15">
        <v>0.05</v>
      </c>
      <c r="D4" s="15">
        <v>1.8567</v>
      </c>
      <c r="E4" s="15">
        <v>9.1964017991004506E-3</v>
      </c>
      <c r="F4" s="15">
        <v>6.0000000000000001E-3</v>
      </c>
      <c r="G4">
        <v>2.3904223602484474E-2</v>
      </c>
      <c r="H4">
        <v>0.34966319401122892</v>
      </c>
      <c r="I4" t="s">
        <v>23</v>
      </c>
      <c r="J4" s="16">
        <v>1.9055024559669085</v>
      </c>
      <c r="K4">
        <v>0.1117566948253793</v>
      </c>
      <c r="L4" s="16">
        <v>0.32932189685416818</v>
      </c>
      <c r="M4" s="16">
        <v>0.55265468797490069</v>
      </c>
      <c r="N4" s="16">
        <v>1.05</v>
      </c>
      <c r="O4" s="11"/>
      <c r="P4" s="11"/>
    </row>
    <row r="5" spans="1:16" x14ac:dyDescent="0.2">
      <c r="A5" s="17" t="s">
        <v>27</v>
      </c>
      <c r="B5" s="11">
        <v>1.3</v>
      </c>
      <c r="C5" s="15">
        <v>0.01</v>
      </c>
      <c r="D5" s="15">
        <v>1.81</v>
      </c>
      <c r="E5" s="15" t="s">
        <v>23</v>
      </c>
      <c r="F5" s="15">
        <v>8.0000000000000002E-3</v>
      </c>
      <c r="G5">
        <v>3.9840372670807457E-3</v>
      </c>
      <c r="H5">
        <v>0.26936350592638802</v>
      </c>
      <c r="I5" t="s">
        <v>23</v>
      </c>
      <c r="J5" s="16">
        <v>1.7308921683696725</v>
      </c>
      <c r="K5">
        <v>0.39926977083362108</v>
      </c>
      <c r="L5" s="16">
        <v>0.32493157108368498</v>
      </c>
      <c r="M5" s="16">
        <v>0.52455116399267976</v>
      </c>
      <c r="N5" s="16">
        <v>0.65</v>
      </c>
      <c r="O5" s="11"/>
      <c r="P5" s="11"/>
    </row>
    <row r="6" spans="1:16" x14ac:dyDescent="0.2">
      <c r="A6" s="17" t="s">
        <v>28</v>
      </c>
      <c r="B6" s="11">
        <v>1.7</v>
      </c>
      <c r="C6" s="15">
        <v>0.23</v>
      </c>
      <c r="D6" s="15">
        <v>1.9145000000000001</v>
      </c>
      <c r="E6" s="15">
        <v>9.1964017991004506E-3</v>
      </c>
      <c r="F6" s="15">
        <v>8.9999999999999993E-3</v>
      </c>
      <c r="G6">
        <v>4.4267080745341618E-4</v>
      </c>
      <c r="H6">
        <v>1.4681659388646288E-2</v>
      </c>
      <c r="I6" t="s">
        <v>23</v>
      </c>
      <c r="J6" s="16">
        <v>1.6268282019296654</v>
      </c>
      <c r="K6">
        <v>2.9242018491616669E-2</v>
      </c>
      <c r="L6" s="16">
        <v>0.4363603803208117</v>
      </c>
      <c r="M6" s="16">
        <v>0.48899184293475823</v>
      </c>
      <c r="N6" s="16">
        <v>0.77</v>
      </c>
      <c r="O6" s="11"/>
      <c r="P6" s="11"/>
    </row>
    <row r="7" spans="1:16" x14ac:dyDescent="0.2">
      <c r="A7" s="17" t="s">
        <v>29</v>
      </c>
      <c r="B7" s="11">
        <v>2</v>
      </c>
      <c r="C7" s="15">
        <v>0.02</v>
      </c>
      <c r="D7" s="15">
        <v>1.633</v>
      </c>
      <c r="E7" s="15" t="s">
        <v>23</v>
      </c>
      <c r="F7" s="15">
        <v>8.9999999999999993E-3</v>
      </c>
      <c r="G7">
        <v>2.6560248447204966E-3</v>
      </c>
      <c r="H7">
        <v>2.6367061759201497E-2</v>
      </c>
      <c r="I7">
        <v>7.5710823916833467E-2</v>
      </c>
      <c r="J7" s="16">
        <v>1.3904832004015399</v>
      </c>
      <c r="K7">
        <v>0.52673209480391381</v>
      </c>
      <c r="L7" s="16">
        <v>0.44624362202318096</v>
      </c>
      <c r="M7" s="16">
        <v>0.59104580522497441</v>
      </c>
      <c r="N7" s="16">
        <v>0.57999999999999996</v>
      </c>
      <c r="O7" s="11"/>
      <c r="P7" s="11"/>
    </row>
    <row r="8" spans="1:16" x14ac:dyDescent="0.2">
      <c r="A8" s="17" t="s">
        <v>30</v>
      </c>
      <c r="B8" s="11">
        <v>2.5</v>
      </c>
      <c r="C8" s="15">
        <v>0.01</v>
      </c>
      <c r="D8" s="15">
        <v>3.351</v>
      </c>
      <c r="E8" s="15" t="s">
        <v>23</v>
      </c>
      <c r="F8" s="15">
        <v>1.7000000000000001E-2</v>
      </c>
      <c r="G8">
        <v>1.3280124223602483E-3</v>
      </c>
      <c r="H8">
        <v>1.9475670617592013E-2</v>
      </c>
      <c r="I8">
        <v>0.13013748046748885</v>
      </c>
      <c r="J8" s="16">
        <v>1.8882829249892576</v>
      </c>
      <c r="K8">
        <v>0.778038130296129</v>
      </c>
      <c r="L8" s="16">
        <v>0.51150586269351417</v>
      </c>
      <c r="M8" s="16">
        <v>0.68257008884595283</v>
      </c>
      <c r="N8" s="16">
        <v>0.36</v>
      </c>
      <c r="O8" s="11"/>
      <c r="P8" s="11"/>
    </row>
    <row r="9" spans="1:16" x14ac:dyDescent="0.2">
      <c r="A9" s="17" t="s">
        <v>31</v>
      </c>
      <c r="B9" s="11">
        <v>3</v>
      </c>
      <c r="C9" s="15">
        <v>0.05</v>
      </c>
      <c r="D9" s="15">
        <v>5.0407000000000002</v>
      </c>
      <c r="E9" s="15" t="s">
        <v>23</v>
      </c>
      <c r="F9" s="15">
        <v>2.4E-2</v>
      </c>
      <c r="G9">
        <v>1.8149503105590065E-2</v>
      </c>
      <c r="H9">
        <v>2.5468184653774175E-2</v>
      </c>
      <c r="I9" t="s">
        <v>23</v>
      </c>
      <c r="J9" s="16">
        <v>2.7347950250582338</v>
      </c>
      <c r="K9">
        <v>0.62772431346187374</v>
      </c>
      <c r="L9" s="16">
        <v>0.66198833480400687</v>
      </c>
      <c r="M9" s="16">
        <v>0.69219659101688846</v>
      </c>
      <c r="N9" s="16">
        <v>0.61</v>
      </c>
      <c r="O9" s="11"/>
      <c r="P9" s="11"/>
    </row>
    <row r="10" spans="1:16" x14ac:dyDescent="0.2">
      <c r="A10" s="17" t="s">
        <v>32</v>
      </c>
      <c r="B10" s="11">
        <v>3</v>
      </c>
      <c r="C10" s="15">
        <v>0.01</v>
      </c>
      <c r="D10" s="15">
        <v>4.7697000000000003</v>
      </c>
      <c r="E10" s="15" t="s">
        <v>23</v>
      </c>
      <c r="F10" s="15">
        <v>2.4E-2</v>
      </c>
      <c r="G10">
        <v>1.5050807453416148E-2</v>
      </c>
      <c r="H10">
        <v>2.9363318777292577E-2</v>
      </c>
      <c r="I10">
        <v>0.15689471944211275</v>
      </c>
      <c r="J10" s="16">
        <v>2.6469503050079375</v>
      </c>
      <c r="K10">
        <v>0.95646272627453544</v>
      </c>
      <c r="L10" s="16">
        <v>0.66447977863087104</v>
      </c>
      <c r="M10" s="16">
        <v>0.68591967859603797</v>
      </c>
      <c r="N10" s="16">
        <v>0.36</v>
      </c>
      <c r="O10" s="11"/>
      <c r="P10" s="11"/>
    </row>
    <row r="11" spans="1:16" x14ac:dyDescent="0.2">
      <c r="A11" s="17" t="s">
        <v>33</v>
      </c>
      <c r="B11" s="11">
        <v>3.5</v>
      </c>
      <c r="C11" s="15">
        <v>0.02</v>
      </c>
      <c r="D11" s="15">
        <v>7.5603999999999996</v>
      </c>
      <c r="E11" s="15" t="s">
        <v>23</v>
      </c>
      <c r="F11" s="15">
        <v>3.6999999999999998E-2</v>
      </c>
      <c r="G11">
        <v>2.3904223602484474E-2</v>
      </c>
      <c r="H11">
        <v>0.18816494073611975</v>
      </c>
      <c r="I11">
        <v>6.4764680699941887E-2</v>
      </c>
      <c r="J11" s="16">
        <v>3.8904927674728582</v>
      </c>
      <c r="K11">
        <v>1.0175400930734935</v>
      </c>
      <c r="L11" s="16">
        <v>0.85749971378795709</v>
      </c>
      <c r="M11" s="16">
        <v>0.70282964069217091</v>
      </c>
      <c r="N11" s="16">
        <v>0.48</v>
      </c>
      <c r="O11" s="11"/>
      <c r="P11" s="11"/>
    </row>
    <row r="12" spans="1:16" x14ac:dyDescent="0.2">
      <c r="A12" s="17" t="s">
        <v>34</v>
      </c>
      <c r="B12" s="11">
        <v>4</v>
      </c>
      <c r="C12" s="15">
        <v>0.01</v>
      </c>
      <c r="D12" s="15">
        <v>18.227900000000002</v>
      </c>
      <c r="E12" s="15" t="s">
        <v>23</v>
      </c>
      <c r="F12" s="15">
        <v>8.8999999999999996E-2</v>
      </c>
      <c r="G12">
        <v>4.4267080745341618E-4</v>
      </c>
      <c r="H12">
        <v>2.9962570180910794E-2</v>
      </c>
      <c r="I12">
        <v>0.29189715245044229</v>
      </c>
      <c r="J12" s="16">
        <v>7.9824602125801274</v>
      </c>
      <c r="K12" t="s">
        <v>23</v>
      </c>
      <c r="L12" s="16">
        <v>1.6120769539028794</v>
      </c>
      <c r="M12" s="16">
        <v>1.1362247413795445</v>
      </c>
      <c r="N12" s="16">
        <v>0.72</v>
      </c>
      <c r="O12" s="11"/>
      <c r="P12" s="11"/>
    </row>
    <row r="13" spans="1:16" x14ac:dyDescent="0.2">
      <c r="A13" s="17" t="s">
        <v>35</v>
      </c>
      <c r="B13" s="11">
        <v>4.5</v>
      </c>
      <c r="C13" s="15">
        <v>0.08</v>
      </c>
      <c r="D13" s="15">
        <v>28.062100000000001</v>
      </c>
      <c r="E13" s="15" t="s">
        <v>23</v>
      </c>
      <c r="F13" s="15">
        <v>0.13400000000000001</v>
      </c>
      <c r="G13">
        <v>1.8592173913043478E-2</v>
      </c>
      <c r="H13" t="s">
        <v>23</v>
      </c>
      <c r="I13">
        <v>0.4980495163685672</v>
      </c>
      <c r="J13" s="16">
        <v>11.529815532523596</v>
      </c>
      <c r="K13" t="s">
        <v>23</v>
      </c>
      <c r="L13" s="16">
        <v>2.0890641948200241</v>
      </c>
      <c r="M13" s="16">
        <v>2.7398958124038355</v>
      </c>
      <c r="N13" s="16">
        <v>1.58</v>
      </c>
      <c r="O13" s="11"/>
      <c r="P13" s="11"/>
    </row>
    <row r="14" spans="1:16" x14ac:dyDescent="0.2">
      <c r="A14" s="17" t="s">
        <v>36</v>
      </c>
      <c r="B14" s="11">
        <v>5.5</v>
      </c>
      <c r="C14" s="15">
        <v>0.04</v>
      </c>
      <c r="D14" s="15">
        <v>41.810400000000001</v>
      </c>
      <c r="E14" s="15" t="s">
        <v>23</v>
      </c>
      <c r="F14" s="15">
        <v>0.20599999999999999</v>
      </c>
      <c r="G14">
        <v>0</v>
      </c>
      <c r="H14">
        <v>8.9887710542732374E-4</v>
      </c>
      <c r="I14">
        <v>1.6513473280816169</v>
      </c>
      <c r="J14" s="16">
        <v>41.217603520298184</v>
      </c>
      <c r="K14" t="s">
        <v>23</v>
      </c>
      <c r="L14" s="16">
        <v>3.2732812887068583</v>
      </c>
      <c r="M14" s="16">
        <v>7.4049896233066939</v>
      </c>
      <c r="N14" s="16">
        <v>5.76</v>
      </c>
      <c r="O14" s="11"/>
      <c r="P14" s="11"/>
    </row>
    <row r="15" spans="1:16" x14ac:dyDescent="0.2">
      <c r="A15" s="17" t="s">
        <v>37</v>
      </c>
      <c r="B15" s="11">
        <v>5.7</v>
      </c>
      <c r="C15" s="15">
        <v>0.1</v>
      </c>
      <c r="D15" s="15">
        <v>43.266800000000003</v>
      </c>
      <c r="E15" s="15">
        <v>9.5248447204968941E-3</v>
      </c>
      <c r="F15" s="15">
        <v>0.21</v>
      </c>
      <c r="G15">
        <v>1.0181428571428572E-2</v>
      </c>
      <c r="H15">
        <v>4.1947598253275105E-3</v>
      </c>
      <c r="I15">
        <v>1.2770500419706849</v>
      </c>
      <c r="J15" s="16">
        <v>43.234875563768156</v>
      </c>
      <c r="K15" t="s">
        <v>23</v>
      </c>
      <c r="L15" s="16">
        <v>3.4815085551238227</v>
      </c>
      <c r="M15" s="16">
        <v>7.4233521603796522</v>
      </c>
      <c r="N15" s="16">
        <v>6.5</v>
      </c>
      <c r="O15" s="11"/>
      <c r="P15" s="11"/>
    </row>
    <row r="16" spans="1:16" x14ac:dyDescent="0.2">
      <c r="A16" s="11"/>
      <c r="B16" s="11"/>
      <c r="C16" s="11"/>
      <c r="D16" s="11"/>
      <c r="E16" s="11"/>
      <c r="F16" s="11"/>
      <c r="J16" s="11"/>
      <c r="K16" s="11"/>
      <c r="L16" s="11"/>
      <c r="M16" s="11"/>
      <c r="N16" s="11"/>
      <c r="O16" s="11"/>
      <c r="P16" s="11"/>
    </row>
    <row r="18" spans="3:14" x14ac:dyDescent="0.2">
      <c r="F18" s="18"/>
      <c r="G18" s="18"/>
      <c r="H18" s="18"/>
      <c r="I18" s="18"/>
      <c r="J18" s="18"/>
      <c r="K18" s="18"/>
      <c r="L18" s="18"/>
      <c r="M18" s="18"/>
      <c r="N18" s="18"/>
    </row>
    <row r="19" spans="3:14" x14ac:dyDescent="0.2">
      <c r="F19" s="18"/>
      <c r="G19" s="18"/>
      <c r="H19" s="18"/>
      <c r="I19" s="18"/>
      <c r="J19" s="18"/>
      <c r="K19" s="18"/>
      <c r="L19" s="18"/>
      <c r="M19" s="18"/>
      <c r="N19" s="18"/>
    </row>
    <row r="20" spans="3:14" x14ac:dyDescent="0.2">
      <c r="C20" s="7"/>
      <c r="D20" s="7"/>
      <c r="E20" s="9"/>
      <c r="F20" s="9"/>
      <c r="G20" s="9"/>
      <c r="H20" s="9"/>
      <c r="I20" s="9"/>
      <c r="K20" s="9"/>
    </row>
  </sheetData>
  <dataValidations count="1">
    <dataValidation type="textLength" operator="lessThanOrEqual" allowBlank="1" showInputMessage="1" showErrorMessage="1" errorTitle="Invalid Sample Identifier" error="The Sample Identifier cannot exceed 20 characters." prompt="Sample IDs must be unique." sqref="C2:C6" xr:uid="{4E394D08-D158-6C4F-AC9B-7953792E556A}">
      <formula1>20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18D6-9D24-3641-8F14-CB90C9F08196}">
  <dimension ref="A1:N18"/>
  <sheetViews>
    <sheetView workbookViewId="0">
      <selection activeCell="A19" sqref="A19"/>
    </sheetView>
  </sheetViews>
  <sheetFormatPr baseColWidth="10" defaultRowHeight="16" x14ac:dyDescent="0.2"/>
  <cols>
    <col min="1" max="2" width="14.6640625" customWidth="1"/>
    <col min="3" max="14" width="10" customWidth="1"/>
    <col min="15" max="15" width="16.83203125" customWidth="1"/>
  </cols>
  <sheetData>
    <row r="1" spans="1:14" ht="20" x14ac:dyDescent="0.25">
      <c r="A1" t="s">
        <v>1</v>
      </c>
      <c r="B1" t="s">
        <v>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</row>
    <row r="2" spans="1:14" x14ac:dyDescent="0.2">
      <c r="A2" t="s">
        <v>38</v>
      </c>
      <c r="B2">
        <v>0.3</v>
      </c>
      <c r="C2" s="2">
        <v>0.03</v>
      </c>
      <c r="D2" s="2">
        <v>1.6520999999999999</v>
      </c>
      <c r="E2" t="s">
        <v>23</v>
      </c>
      <c r="F2">
        <v>6.0000000000000001E-3</v>
      </c>
      <c r="G2">
        <v>4.4267080745341618E-4</v>
      </c>
      <c r="H2">
        <v>1.3183530879600749E-2</v>
      </c>
      <c r="I2" t="s">
        <v>23</v>
      </c>
      <c r="J2">
        <v>1.3152672323910963</v>
      </c>
      <c r="K2">
        <v>0.11384840384146667</v>
      </c>
      <c r="L2">
        <v>0.46360348430613124</v>
      </c>
      <c r="M2">
        <v>0.43465245728948865</v>
      </c>
      <c r="N2">
        <v>0.94</v>
      </c>
    </row>
    <row r="3" spans="1:14" x14ac:dyDescent="0.2">
      <c r="A3" t="s">
        <v>39</v>
      </c>
      <c r="B3">
        <v>0.6</v>
      </c>
      <c r="C3" s="2">
        <v>0.08</v>
      </c>
      <c r="D3" s="2">
        <v>1.6752</v>
      </c>
      <c r="E3" t="s">
        <v>23</v>
      </c>
      <c r="F3">
        <v>6.0000000000000001E-3</v>
      </c>
      <c r="G3" t="s">
        <v>23</v>
      </c>
      <c r="H3">
        <v>1.438203368683718E-2</v>
      </c>
      <c r="I3" t="s">
        <v>23</v>
      </c>
      <c r="J3">
        <v>1.3513902272588398</v>
      </c>
      <c r="K3">
        <v>5.2666785969197362E-2</v>
      </c>
      <c r="L3">
        <v>0.3130463959363825</v>
      </c>
      <c r="M3">
        <v>0.44151032618306502</v>
      </c>
      <c r="N3">
        <v>1.1100000000000001</v>
      </c>
    </row>
    <row r="4" spans="1:14" x14ac:dyDescent="0.2">
      <c r="A4" t="s">
        <v>40</v>
      </c>
      <c r="B4">
        <v>0.9</v>
      </c>
      <c r="C4" s="2">
        <v>0.05</v>
      </c>
      <c r="D4" s="2">
        <v>1.6202000000000001</v>
      </c>
      <c r="E4" t="s">
        <v>23</v>
      </c>
      <c r="F4">
        <v>5.0000000000000001E-3</v>
      </c>
      <c r="G4">
        <v>4.4267080745341618E-4</v>
      </c>
      <c r="H4">
        <v>2.0674173424828447E-2</v>
      </c>
      <c r="I4" t="s">
        <v>23</v>
      </c>
      <c r="J4">
        <v>1.2815085687088359</v>
      </c>
      <c r="K4">
        <v>0.14353740294513029</v>
      </c>
      <c r="L4">
        <v>0.40157593092771504</v>
      </c>
      <c r="M4">
        <v>0.42278256887334636</v>
      </c>
      <c r="N4">
        <v>1.03</v>
      </c>
    </row>
    <row r="5" spans="1:14" x14ac:dyDescent="0.2">
      <c r="A5" t="s">
        <v>41</v>
      </c>
      <c r="B5">
        <v>1.2</v>
      </c>
      <c r="C5" s="2">
        <v>0.06</v>
      </c>
      <c r="D5" s="2">
        <v>1.3646</v>
      </c>
      <c r="E5" t="s">
        <v>23</v>
      </c>
      <c r="F5">
        <v>6.0000000000000001E-3</v>
      </c>
      <c r="G5">
        <v>1.150944099378882E-2</v>
      </c>
      <c r="H5">
        <v>3.5655458515283844E-2</v>
      </c>
      <c r="I5" t="s">
        <v>23</v>
      </c>
      <c r="J5">
        <v>0.9098850231733977</v>
      </c>
      <c r="K5">
        <v>0.23283526781968844</v>
      </c>
      <c r="L5">
        <v>0.18095911033205064</v>
      </c>
      <c r="M5">
        <v>0.62410549068896748</v>
      </c>
      <c r="N5">
        <v>0.95</v>
      </c>
    </row>
    <row r="6" spans="1:14" x14ac:dyDescent="0.2">
      <c r="A6" t="s">
        <v>42</v>
      </c>
      <c r="B6">
        <v>1.6</v>
      </c>
      <c r="C6" s="2">
        <v>0.02</v>
      </c>
      <c r="D6" s="2">
        <v>1.2358</v>
      </c>
      <c r="E6" t="s">
        <v>23</v>
      </c>
      <c r="F6">
        <v>5.0000000000000001E-3</v>
      </c>
      <c r="G6">
        <v>8.8534161490683237E-4</v>
      </c>
      <c r="H6">
        <v>2.3071179039301309E-2</v>
      </c>
      <c r="I6" t="s">
        <v>23</v>
      </c>
      <c r="J6">
        <v>0.75514350537536212</v>
      </c>
      <c r="K6">
        <v>0.14839813559865442</v>
      </c>
      <c r="L6">
        <v>0.10637624253448782</v>
      </c>
      <c r="M6">
        <v>0.77121415606607646</v>
      </c>
      <c r="N6">
        <v>0.75</v>
      </c>
    </row>
    <row r="7" spans="1:14" x14ac:dyDescent="0.2">
      <c r="A7" t="s">
        <v>43</v>
      </c>
      <c r="B7">
        <v>2</v>
      </c>
      <c r="C7" s="2">
        <v>7.0000000000000007E-2</v>
      </c>
      <c r="D7" s="2">
        <v>5.5502000000000002</v>
      </c>
      <c r="E7" t="s">
        <v>23</v>
      </c>
      <c r="F7">
        <v>7.0000000000000001E-3</v>
      </c>
      <c r="G7">
        <v>2.6117577639751553E-2</v>
      </c>
      <c r="H7">
        <v>3.6365571428571428</v>
      </c>
      <c r="I7" t="s">
        <v>23</v>
      </c>
      <c r="J7">
        <v>7.8904202990221757</v>
      </c>
      <c r="K7">
        <v>0.75323187418025506</v>
      </c>
      <c r="L7">
        <v>0.57930350211067316</v>
      </c>
      <c r="M7">
        <v>0.92830098212549239</v>
      </c>
      <c r="N7">
        <v>0.9</v>
      </c>
    </row>
    <row r="8" spans="1:14" x14ac:dyDescent="0.2">
      <c r="A8" t="s">
        <v>44</v>
      </c>
      <c r="B8">
        <v>2.5</v>
      </c>
      <c r="C8" s="2">
        <v>7.0000000000000007E-2</v>
      </c>
      <c r="D8" s="2">
        <v>3.9232</v>
      </c>
      <c r="E8" t="s">
        <v>23</v>
      </c>
      <c r="F8">
        <v>5.0000000000000001E-3</v>
      </c>
      <c r="G8">
        <v>2.1248198757763972E-2</v>
      </c>
      <c r="H8">
        <v>2.4575300062383034</v>
      </c>
      <c r="I8">
        <v>7.8447359721056376E-2</v>
      </c>
      <c r="J8">
        <v>5.2152073776716721</v>
      </c>
      <c r="K8">
        <v>1.2326307378387185</v>
      </c>
      <c r="L8">
        <v>0.61272116980241709</v>
      </c>
      <c r="M8">
        <v>0.92900863201782324</v>
      </c>
      <c r="N8">
        <v>0.75</v>
      </c>
    </row>
    <row r="9" spans="1:14" x14ac:dyDescent="0.2">
      <c r="A9" t="s">
        <v>45</v>
      </c>
      <c r="B9">
        <v>3</v>
      </c>
      <c r="C9" s="2">
        <v>0.2</v>
      </c>
      <c r="D9" s="2">
        <v>1.2148000000000001</v>
      </c>
      <c r="E9">
        <v>1.6422146069822233E-2</v>
      </c>
      <c r="F9">
        <v>4.0000000000000001E-3</v>
      </c>
      <c r="G9">
        <v>2.4789565217391306E-2</v>
      </c>
      <c r="H9">
        <v>8.8389582033686839E-2</v>
      </c>
      <c r="I9" t="s">
        <v>23</v>
      </c>
      <c r="J9">
        <v>1.0936973575123059</v>
      </c>
      <c r="K9">
        <v>0.12752639493213397</v>
      </c>
      <c r="L9">
        <v>0.22703025073051883</v>
      </c>
      <c r="M9">
        <v>0.99715137483291338</v>
      </c>
      <c r="N9">
        <v>0.68</v>
      </c>
    </row>
    <row r="10" spans="1:14" x14ac:dyDescent="0.2">
      <c r="A10" t="s">
        <v>46</v>
      </c>
      <c r="B10">
        <v>3.5</v>
      </c>
      <c r="C10" s="2">
        <v>0.01</v>
      </c>
      <c r="D10" s="2">
        <v>0.73270000000000002</v>
      </c>
      <c r="E10" t="s">
        <v>23</v>
      </c>
      <c r="F10">
        <v>3.0000000000000001E-3</v>
      </c>
      <c r="G10">
        <v>8.4107453416149072E-3</v>
      </c>
      <c r="H10">
        <v>1.6779039301310042E-2</v>
      </c>
      <c r="I10">
        <v>6.2332204429521539E-2</v>
      </c>
      <c r="J10">
        <v>0.88627190971337666</v>
      </c>
      <c r="K10">
        <v>0.3243801434994803</v>
      </c>
      <c r="L10">
        <v>0.21695474563003825</v>
      </c>
      <c r="M10">
        <v>1.0839712648510325</v>
      </c>
      <c r="N10">
        <v>0.32</v>
      </c>
    </row>
    <row r="11" spans="1:14" x14ac:dyDescent="0.2">
      <c r="A11" t="s">
        <v>47</v>
      </c>
      <c r="B11">
        <v>4</v>
      </c>
      <c r="C11" s="2">
        <v>0.01</v>
      </c>
      <c r="D11" s="2">
        <v>0.74719999999999998</v>
      </c>
      <c r="E11" t="s">
        <v>23</v>
      </c>
      <c r="F11">
        <v>4.0000000000000001E-3</v>
      </c>
      <c r="G11">
        <v>4.4267080745341618E-4</v>
      </c>
      <c r="H11">
        <v>1.0187273861509669E-2</v>
      </c>
      <c r="I11">
        <v>7.0541811842190216E-2</v>
      </c>
      <c r="J11">
        <v>1.0387920037969784</v>
      </c>
      <c r="K11">
        <v>0.51078296421974634</v>
      </c>
      <c r="L11">
        <v>0.29314727073781871</v>
      </c>
      <c r="M11">
        <v>1.2575860565870278</v>
      </c>
      <c r="N11">
        <v>0.43</v>
      </c>
    </row>
    <row r="12" spans="1:14" x14ac:dyDescent="0.2">
      <c r="A12" t="s">
        <v>48</v>
      </c>
      <c r="B12">
        <v>4.5</v>
      </c>
      <c r="C12" s="2">
        <v>0.01</v>
      </c>
      <c r="D12" s="2">
        <v>0.89080000000000004</v>
      </c>
      <c r="E12" t="s">
        <v>23</v>
      </c>
      <c r="F12">
        <v>4.0000000000000001E-3</v>
      </c>
      <c r="G12">
        <v>3.9840372670807457E-3</v>
      </c>
      <c r="H12">
        <v>1.4981285090455397E-2</v>
      </c>
      <c r="I12" t="s">
        <v>23</v>
      </c>
      <c r="J12">
        <v>1.1383118430795121</v>
      </c>
      <c r="K12">
        <v>0.34801585572641774</v>
      </c>
      <c r="L12">
        <v>0.36013209065082663</v>
      </c>
      <c r="M12">
        <v>1.3489865953296192</v>
      </c>
      <c r="N12">
        <v>0.31</v>
      </c>
    </row>
    <row r="13" spans="1:14" x14ac:dyDescent="0.2">
      <c r="A13" t="s">
        <v>49</v>
      </c>
      <c r="B13">
        <v>5.5</v>
      </c>
      <c r="C13" s="2">
        <v>0.01</v>
      </c>
      <c r="D13" s="2">
        <v>1.3521000000000001</v>
      </c>
      <c r="E13" t="s">
        <v>23</v>
      </c>
      <c r="F13">
        <v>7.0000000000000001E-3</v>
      </c>
      <c r="G13">
        <v>4.4267080745341615E-3</v>
      </c>
      <c r="H13">
        <v>1.438203368683718E-2</v>
      </c>
      <c r="I13">
        <v>0.18669255375476207</v>
      </c>
      <c r="J13">
        <v>1.6800824076266485</v>
      </c>
      <c r="K13">
        <v>0.85523377483544816</v>
      </c>
      <c r="L13">
        <v>0.53926825636153175</v>
      </c>
      <c r="M13">
        <v>2.2546032969584879</v>
      </c>
      <c r="N13">
        <v>0.62</v>
      </c>
    </row>
    <row r="16" spans="1:14" x14ac:dyDescent="0.2">
      <c r="F16" s="18"/>
      <c r="G16" s="18"/>
      <c r="H16" s="18"/>
      <c r="I16" s="18"/>
      <c r="J16" s="18"/>
      <c r="K16" s="18"/>
      <c r="L16" s="18"/>
      <c r="M16" s="18"/>
      <c r="N16" s="18"/>
    </row>
    <row r="17" spans="3:14" x14ac:dyDescent="0.2">
      <c r="F17" s="18"/>
      <c r="G17" s="18"/>
      <c r="H17" s="18"/>
      <c r="I17" s="18"/>
      <c r="J17" s="18"/>
      <c r="K17" s="18"/>
      <c r="L17" s="18"/>
      <c r="M17" s="18"/>
      <c r="N17" s="18"/>
    </row>
    <row r="18" spans="3:14" x14ac:dyDescent="0.2">
      <c r="C18" s="7"/>
      <c r="D18" s="7"/>
      <c r="E18" s="9"/>
      <c r="F18" s="9"/>
      <c r="G18" s="9"/>
      <c r="H18" s="9"/>
      <c r="I18" s="9"/>
      <c r="K18" s="9"/>
    </row>
  </sheetData>
  <dataValidations count="1">
    <dataValidation type="textLength" operator="lessThanOrEqual" allowBlank="1" showInputMessage="1" showErrorMessage="1" errorTitle="Invalid Sample Identifier" error="The Sample Identifier cannot exceed 20 characters." prompt="Sample IDs must be unique." sqref="C2:C13" xr:uid="{D6E82C2D-4D4C-704F-87B3-B6A4580D2146}">
      <formula1>20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E91A-60F3-1F42-ACCD-D297B74698DA}">
  <dimension ref="A1:N24"/>
  <sheetViews>
    <sheetView workbookViewId="0">
      <selection activeCell="C23" sqref="C23"/>
    </sheetView>
  </sheetViews>
  <sheetFormatPr baseColWidth="10" defaultRowHeight="16" x14ac:dyDescent="0.2"/>
  <cols>
    <col min="1" max="1" width="24.5" customWidth="1"/>
    <col min="2" max="14" width="11.33203125" customWidth="1"/>
  </cols>
  <sheetData>
    <row r="1" spans="1:14" ht="20" x14ac:dyDescent="0.25">
      <c r="A1" t="s">
        <v>1</v>
      </c>
      <c r="B1" t="s">
        <v>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</row>
    <row r="2" spans="1:14" x14ac:dyDescent="0.2">
      <c r="A2" t="s">
        <v>50</v>
      </c>
      <c r="B2" s="4">
        <v>0.3</v>
      </c>
      <c r="C2" s="5">
        <v>0.01</v>
      </c>
      <c r="D2" s="5">
        <v>2.4226000000000001</v>
      </c>
      <c r="E2" t="s">
        <v>23</v>
      </c>
      <c r="F2">
        <v>8.9999999999999993E-3</v>
      </c>
      <c r="G2">
        <v>1.7706832298136647E-3</v>
      </c>
      <c r="H2">
        <v>0.24449457267623209</v>
      </c>
      <c r="I2">
        <v>7.0237752308387677E-2</v>
      </c>
      <c r="J2">
        <v>2.6687646097783051</v>
      </c>
      <c r="K2">
        <v>0.2496673699652131</v>
      </c>
      <c r="L2">
        <v>0.52138952441422992</v>
      </c>
      <c r="M2">
        <v>0.75974317321037244</v>
      </c>
      <c r="N2">
        <v>1.29</v>
      </c>
    </row>
    <row r="3" spans="1:14" x14ac:dyDescent="0.2">
      <c r="A3" t="s">
        <v>51</v>
      </c>
      <c r="B3" s="4">
        <v>0.6</v>
      </c>
      <c r="C3" s="5">
        <v>0.02</v>
      </c>
      <c r="D3" s="5">
        <v>1.8589</v>
      </c>
      <c r="E3" t="s">
        <v>23</v>
      </c>
      <c r="F3">
        <v>6.0000000000000001E-3</v>
      </c>
      <c r="G3">
        <v>8.8534161490683237E-4</v>
      </c>
      <c r="H3">
        <v>0.29393281347473488</v>
      </c>
      <c r="I3" t="s">
        <v>23</v>
      </c>
      <c r="J3">
        <v>2.0286345149453116</v>
      </c>
      <c r="K3">
        <v>0.26168972962009823</v>
      </c>
      <c r="L3">
        <v>0.46843965955142652</v>
      </c>
      <c r="M3">
        <v>0.53664234160039603</v>
      </c>
      <c r="N3">
        <v>0.94</v>
      </c>
    </row>
    <row r="4" spans="1:14" x14ac:dyDescent="0.2">
      <c r="A4" t="s">
        <v>52</v>
      </c>
      <c r="B4" s="4">
        <v>0.9</v>
      </c>
      <c r="C4" s="5">
        <v>0.02</v>
      </c>
      <c r="D4" s="5">
        <v>1.6819999999999999</v>
      </c>
      <c r="E4" t="s">
        <v>23</v>
      </c>
      <c r="F4">
        <v>6.0000000000000001E-3</v>
      </c>
      <c r="G4">
        <v>4.4267080745341618E-4</v>
      </c>
      <c r="H4">
        <v>2.3370804741110418E-2</v>
      </c>
      <c r="I4">
        <v>7.601488345063602E-2</v>
      </c>
      <c r="J4">
        <v>1.511953413275545</v>
      </c>
      <c r="K4">
        <v>9.0974964590090218E-2</v>
      </c>
      <c r="L4">
        <v>0.6094706688197542</v>
      </c>
      <c r="M4">
        <v>0.50014590062537578</v>
      </c>
      <c r="N4">
        <v>0.98</v>
      </c>
    </row>
    <row r="5" spans="1:14" x14ac:dyDescent="0.2">
      <c r="A5" t="s">
        <v>53</v>
      </c>
      <c r="B5">
        <v>0.9</v>
      </c>
      <c r="C5" s="2">
        <v>0.01</v>
      </c>
      <c r="D5" s="2">
        <v>1.7028000000000001</v>
      </c>
      <c r="E5" t="s">
        <v>23</v>
      </c>
      <c r="F5">
        <v>6.0000000000000001E-3</v>
      </c>
      <c r="G5">
        <v>1.3280124223602483E-3</v>
      </c>
      <c r="H5">
        <v>1.3183530879600749E-2</v>
      </c>
      <c r="I5">
        <v>7.2974288112610572E-2</v>
      </c>
      <c r="J5">
        <v>1.3382885791897521</v>
      </c>
      <c r="K5">
        <v>0.1218422302027132</v>
      </c>
      <c r="L5">
        <v>0.42056076018961291</v>
      </c>
      <c r="M5">
        <v>0.47443192293685704</v>
      </c>
      <c r="N5">
        <v>0.86</v>
      </c>
    </row>
    <row r="6" spans="1:14" x14ac:dyDescent="0.2">
      <c r="A6" t="s">
        <v>54</v>
      </c>
      <c r="B6">
        <v>0.9</v>
      </c>
      <c r="C6" s="2">
        <v>0.01</v>
      </c>
      <c r="D6" s="2">
        <v>1.6891</v>
      </c>
      <c r="E6" t="s">
        <v>23</v>
      </c>
      <c r="F6">
        <v>6.0000000000000001E-3</v>
      </c>
      <c r="G6">
        <v>4.4267080745341618E-4</v>
      </c>
      <c r="H6">
        <v>1.2284653774173426E-2</v>
      </c>
      <c r="I6">
        <v>7.5406764383030928E-2</v>
      </c>
      <c r="J6">
        <v>1.3491784859893792</v>
      </c>
      <c r="K6">
        <v>0.19709167110540804</v>
      </c>
      <c r="L6">
        <v>0.43350599864073491</v>
      </c>
      <c r="M6">
        <v>0.46842109094247641</v>
      </c>
      <c r="N6">
        <v>0.83</v>
      </c>
    </row>
    <row r="7" spans="1:14" x14ac:dyDescent="0.2">
      <c r="A7" t="s">
        <v>55</v>
      </c>
      <c r="B7">
        <v>1.3</v>
      </c>
      <c r="C7" s="2">
        <v>0.01</v>
      </c>
      <c r="D7" s="2">
        <v>1.5538000000000001</v>
      </c>
      <c r="E7" t="s">
        <v>23</v>
      </c>
      <c r="F7">
        <v>6.0000000000000001E-3</v>
      </c>
      <c r="G7">
        <v>0</v>
      </c>
      <c r="H7">
        <v>1.5280910792264506E-2</v>
      </c>
      <c r="I7">
        <v>6.4460621166139348E-2</v>
      </c>
      <c r="J7">
        <v>1.2799107892438324</v>
      </c>
      <c r="K7">
        <v>0.28815072243467899</v>
      </c>
      <c r="L7">
        <v>0.27946924727847172</v>
      </c>
      <c r="M7">
        <v>0.65059845419673967</v>
      </c>
      <c r="N7">
        <v>0.66</v>
      </c>
    </row>
    <row r="8" spans="1:14" x14ac:dyDescent="0.2">
      <c r="A8" t="s">
        <v>56</v>
      </c>
      <c r="B8">
        <v>1.8</v>
      </c>
      <c r="C8" s="2">
        <v>0.04</v>
      </c>
      <c r="D8" s="2">
        <v>1.6658999999999999</v>
      </c>
      <c r="E8" t="s">
        <v>23</v>
      </c>
      <c r="F8">
        <v>6.0000000000000001E-3</v>
      </c>
      <c r="G8">
        <v>1.4608136645962734E-2</v>
      </c>
      <c r="H8">
        <v>2.157305053025577E-2</v>
      </c>
      <c r="I8" t="s">
        <v>23</v>
      </c>
      <c r="J8">
        <v>1.5787214412760833</v>
      </c>
      <c r="K8">
        <v>0.28424361576505269</v>
      </c>
      <c r="L8">
        <v>0.33811481293085238</v>
      </c>
      <c r="M8">
        <v>1.1897980459615547</v>
      </c>
      <c r="N8">
        <v>0.63</v>
      </c>
    </row>
    <row r="9" spans="1:14" x14ac:dyDescent="0.2">
      <c r="A9" t="s">
        <v>57</v>
      </c>
      <c r="B9">
        <v>2.4</v>
      </c>
      <c r="C9" s="2">
        <v>0.02</v>
      </c>
      <c r="D9" s="2">
        <v>1.5508999999999999</v>
      </c>
      <c r="E9" t="s">
        <v>23</v>
      </c>
      <c r="F9">
        <v>5.0000000000000001E-3</v>
      </c>
      <c r="G9">
        <v>1.5493478260869565E-2</v>
      </c>
      <c r="H9">
        <v>3.2659201497192765E-2</v>
      </c>
      <c r="I9" t="s">
        <v>23</v>
      </c>
      <c r="J9">
        <v>1.3919536320168562</v>
      </c>
      <c r="K9">
        <v>0.40539861075562067</v>
      </c>
      <c r="L9">
        <v>0.23450512823496195</v>
      </c>
      <c r="M9">
        <v>1.0868223165033406</v>
      </c>
      <c r="N9">
        <v>0.5</v>
      </c>
    </row>
    <row r="10" spans="1:14" x14ac:dyDescent="0.2">
      <c r="A10" t="s">
        <v>58</v>
      </c>
      <c r="B10">
        <v>3</v>
      </c>
      <c r="C10" s="2">
        <v>0.01</v>
      </c>
      <c r="D10" s="2">
        <v>1.4353</v>
      </c>
      <c r="E10" t="s">
        <v>23</v>
      </c>
      <c r="F10">
        <v>6.0000000000000001E-3</v>
      </c>
      <c r="G10">
        <v>8.8534161490683237E-4</v>
      </c>
      <c r="H10">
        <v>2.1273424828446665E-2</v>
      </c>
      <c r="I10">
        <v>0.10094776522244463</v>
      </c>
      <c r="J10">
        <v>1.738247630665237</v>
      </c>
      <c r="K10">
        <v>0.5900381490401152</v>
      </c>
      <c r="L10">
        <v>0.37907804721475574</v>
      </c>
      <c r="M10">
        <v>1.309952938547003</v>
      </c>
      <c r="N10">
        <v>0.48</v>
      </c>
    </row>
    <row r="11" spans="1:14" x14ac:dyDescent="0.2">
      <c r="A11" t="s">
        <v>59</v>
      </c>
      <c r="B11">
        <v>3.5</v>
      </c>
      <c r="C11" s="2">
        <v>0.01</v>
      </c>
      <c r="D11" s="2">
        <v>1.5783</v>
      </c>
      <c r="E11" t="s">
        <v>23</v>
      </c>
      <c r="F11">
        <v>6.0000000000000001E-3</v>
      </c>
      <c r="G11">
        <v>1.7706832298136647E-3</v>
      </c>
      <c r="H11">
        <v>0.34516880848409232</v>
      </c>
      <c r="I11">
        <v>6.2636263963324085E-2</v>
      </c>
      <c r="J11">
        <v>2.4802811660630257</v>
      </c>
      <c r="K11">
        <v>0.61712295841131504</v>
      </c>
      <c r="L11">
        <v>0.41259628829956962</v>
      </c>
      <c r="M11">
        <v>1.3864463098605526</v>
      </c>
      <c r="N11">
        <v>0.41</v>
      </c>
    </row>
    <row r="12" spans="1:14" x14ac:dyDescent="0.2">
      <c r="A12" t="s">
        <v>60</v>
      </c>
      <c r="B12">
        <v>4</v>
      </c>
      <c r="C12" s="2">
        <v>0.01</v>
      </c>
      <c r="D12" s="2">
        <v>1.4556</v>
      </c>
      <c r="E12" t="s">
        <v>23</v>
      </c>
      <c r="F12">
        <v>6.0000000000000001E-3</v>
      </c>
      <c r="G12">
        <v>1.7706832298136647E-3</v>
      </c>
      <c r="H12">
        <v>2.4569307548346853E-2</v>
      </c>
      <c r="I12">
        <v>9.1825979208368311E-2</v>
      </c>
      <c r="J12">
        <v>2.0070325468702963</v>
      </c>
      <c r="K12">
        <v>0.6631199706526627</v>
      </c>
      <c r="L12">
        <v>0.39455238413750587</v>
      </c>
      <c r="M12">
        <v>1.7113704840395347</v>
      </c>
      <c r="N12">
        <v>0.44</v>
      </c>
    </row>
    <row r="13" spans="1:14" x14ac:dyDescent="0.2">
      <c r="A13" t="s">
        <v>61</v>
      </c>
      <c r="B13">
        <v>4.5</v>
      </c>
      <c r="C13" s="2">
        <v>0.04</v>
      </c>
      <c r="D13" s="2">
        <v>1.7115</v>
      </c>
      <c r="E13" t="s">
        <v>23</v>
      </c>
      <c r="F13">
        <v>7.0000000000000001E-3</v>
      </c>
      <c r="G13">
        <v>1.5493478260869565E-2</v>
      </c>
      <c r="H13">
        <v>1.588016219588272E-2</v>
      </c>
      <c r="I13" t="s">
        <v>23</v>
      </c>
      <c r="J13">
        <v>2.4838369661135533</v>
      </c>
      <c r="K13">
        <v>0.50623487616039076</v>
      </c>
      <c r="L13">
        <v>0.46271359143539714</v>
      </c>
      <c r="M13">
        <v>1.5003584993601309</v>
      </c>
      <c r="N13">
        <v>0.72</v>
      </c>
    </row>
    <row r="14" spans="1:14" x14ac:dyDescent="0.2">
      <c r="A14" t="s">
        <v>62</v>
      </c>
      <c r="B14">
        <v>5</v>
      </c>
      <c r="C14" s="2">
        <v>0.01</v>
      </c>
      <c r="D14" s="2">
        <v>1.8091999999999999</v>
      </c>
      <c r="E14" t="s">
        <v>23</v>
      </c>
      <c r="F14">
        <v>8.0000000000000002E-3</v>
      </c>
      <c r="G14">
        <v>1.3280124223602483E-3</v>
      </c>
      <c r="H14">
        <v>3.7153587024329381E-2</v>
      </c>
      <c r="I14">
        <v>0.19246968489701038</v>
      </c>
      <c r="J14">
        <v>3.2504326029137687</v>
      </c>
      <c r="K14">
        <v>1.1022948892863997</v>
      </c>
      <c r="L14">
        <v>0.61938091770180337</v>
      </c>
      <c r="M14">
        <v>1.6853893387966166</v>
      </c>
      <c r="N14">
        <v>0.55000000000000004</v>
      </c>
    </row>
    <row r="15" spans="1:14" x14ac:dyDescent="0.2">
      <c r="A15" t="s">
        <v>63</v>
      </c>
      <c r="B15">
        <v>5.5</v>
      </c>
      <c r="C15" s="2">
        <v>0.1</v>
      </c>
      <c r="D15" s="2">
        <v>2.2219000000000002</v>
      </c>
      <c r="E15" t="s">
        <v>23</v>
      </c>
      <c r="F15">
        <v>0.01</v>
      </c>
      <c r="G15">
        <v>1.4165465838509318E-2</v>
      </c>
      <c r="H15">
        <v>0.38412014971927638</v>
      </c>
      <c r="I15" t="s">
        <v>23</v>
      </c>
      <c r="J15">
        <v>4.5350582210744816</v>
      </c>
      <c r="K15">
        <v>0.92503241003392123</v>
      </c>
      <c r="L15">
        <v>0.64629235419980757</v>
      </c>
      <c r="M15">
        <v>1.37336851282017</v>
      </c>
      <c r="N15">
        <v>0.72</v>
      </c>
    </row>
    <row r="16" spans="1:14" x14ac:dyDescent="0.2">
      <c r="A16" t="s">
        <v>64</v>
      </c>
      <c r="B16">
        <v>6</v>
      </c>
      <c r="C16" s="2">
        <v>0.01</v>
      </c>
      <c r="D16" s="2">
        <v>2.0746000000000002</v>
      </c>
      <c r="E16" t="s">
        <v>23</v>
      </c>
      <c r="F16">
        <v>0.01</v>
      </c>
      <c r="G16">
        <v>1.3280124223602483E-3</v>
      </c>
      <c r="H16">
        <v>3.5955084217092953E-2</v>
      </c>
      <c r="I16">
        <v>0.17300987473364757</v>
      </c>
      <c r="J16">
        <v>4.0041937052492207</v>
      </c>
      <c r="K16">
        <v>1.2766243037136233</v>
      </c>
      <c r="L16">
        <v>0.68265168338403137</v>
      </c>
      <c r="M16">
        <v>1.4192896177613139</v>
      </c>
      <c r="N16">
        <v>0.6</v>
      </c>
    </row>
    <row r="17" spans="1:14" x14ac:dyDescent="0.2">
      <c r="A17" t="s">
        <v>65</v>
      </c>
      <c r="B17">
        <v>6.5</v>
      </c>
      <c r="C17" s="2">
        <v>0.01</v>
      </c>
      <c r="D17" s="2">
        <v>2.371</v>
      </c>
      <c r="E17" t="s">
        <v>23</v>
      </c>
      <c r="F17">
        <v>1.2E-2</v>
      </c>
      <c r="G17">
        <v>8.8534161490683237E-4</v>
      </c>
      <c r="H17">
        <v>2.876406737367436E-2</v>
      </c>
      <c r="I17">
        <v>0.29220121198424487</v>
      </c>
      <c r="J17">
        <v>4.2847129322487225</v>
      </c>
      <c r="K17">
        <v>1.4710708733630955</v>
      </c>
      <c r="L17">
        <v>0.69321394774627332</v>
      </c>
      <c r="M17">
        <v>1.3278424185494735</v>
      </c>
      <c r="N17">
        <v>0.47</v>
      </c>
    </row>
    <row r="18" spans="1:14" x14ac:dyDescent="0.2">
      <c r="A18" t="s">
        <v>66</v>
      </c>
      <c r="B18">
        <v>6.5</v>
      </c>
      <c r="C18" s="2">
        <v>0.01</v>
      </c>
      <c r="D18" s="2">
        <v>2.3658999999999999</v>
      </c>
      <c r="E18" t="s">
        <v>23</v>
      </c>
      <c r="F18">
        <v>1.2E-2</v>
      </c>
      <c r="G18">
        <v>4.4267080745341618E-4</v>
      </c>
      <c r="H18">
        <v>3.0861447286338117E-2</v>
      </c>
      <c r="I18">
        <v>0.26118713953638539</v>
      </c>
      <c r="J18">
        <v>4.2918002382151181</v>
      </c>
      <c r="K18">
        <v>1.4694292844550836</v>
      </c>
      <c r="L18">
        <v>0.70354589504821086</v>
      </c>
      <c r="M18">
        <v>1.3208407437477376</v>
      </c>
      <c r="N18">
        <v>0.47</v>
      </c>
    </row>
    <row r="19" spans="1:14" x14ac:dyDescent="0.2">
      <c r="A19" t="s">
        <v>67</v>
      </c>
      <c r="B19">
        <v>6.8</v>
      </c>
      <c r="C19" s="2">
        <v>0.03</v>
      </c>
      <c r="D19" s="2">
        <v>3.4073000000000002</v>
      </c>
      <c r="E19" t="s">
        <v>23</v>
      </c>
      <c r="F19">
        <v>1.6E-2</v>
      </c>
      <c r="G19">
        <v>2.5674906832298134E-2</v>
      </c>
      <c r="H19">
        <v>1.6179787897691828E-2</v>
      </c>
      <c r="I19">
        <v>9.2434098275973403E-2</v>
      </c>
      <c r="J19">
        <v>4.8958012037082383</v>
      </c>
      <c r="K19">
        <v>0.77481727127430278</v>
      </c>
      <c r="L19">
        <v>0.74959145632937696</v>
      </c>
      <c r="M19">
        <v>1.2232297950935185</v>
      </c>
      <c r="N19">
        <v>0.72</v>
      </c>
    </row>
    <row r="22" spans="1:14" x14ac:dyDescent="0.2"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">
      <c r="F23" s="18"/>
      <c r="G23" s="18"/>
      <c r="H23" s="18"/>
      <c r="I23" s="18"/>
      <c r="J23" s="18"/>
      <c r="K23" s="18"/>
      <c r="L23" s="18"/>
      <c r="M23" s="18"/>
      <c r="N23" s="18"/>
    </row>
    <row r="24" spans="1:14" x14ac:dyDescent="0.2">
      <c r="C24" s="7"/>
      <c r="D24" s="7"/>
      <c r="E24" s="9"/>
      <c r="F24" s="9"/>
      <c r="G24" s="9"/>
      <c r="H24" s="9"/>
      <c r="I24" s="9"/>
      <c r="K24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48C1-A584-944A-B50C-9A8AD89FFFC5}">
  <dimension ref="A1:N24"/>
  <sheetViews>
    <sheetView workbookViewId="0">
      <selection activeCell="C21" sqref="C21:O62"/>
    </sheetView>
  </sheetViews>
  <sheetFormatPr baseColWidth="10" defaultRowHeight="16" x14ac:dyDescent="0.2"/>
  <cols>
    <col min="1" max="1" width="18" customWidth="1"/>
    <col min="2" max="14" width="11.33203125" customWidth="1"/>
  </cols>
  <sheetData>
    <row r="1" spans="1:14" ht="20" x14ac:dyDescent="0.25">
      <c r="A1" t="s">
        <v>1</v>
      </c>
      <c r="B1" t="s">
        <v>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</row>
    <row r="2" spans="1:14" x14ac:dyDescent="0.2">
      <c r="A2" t="s">
        <v>68</v>
      </c>
      <c r="B2" s="4">
        <v>0.3</v>
      </c>
      <c r="C2" s="5">
        <v>0.04</v>
      </c>
      <c r="D2" s="5">
        <v>1.4696</v>
      </c>
      <c r="E2" t="s">
        <v>23</v>
      </c>
      <c r="F2">
        <v>4.0000000000000001E-3</v>
      </c>
      <c r="G2">
        <v>2.2576211180124227E-2</v>
      </c>
      <c r="H2">
        <v>0.36674185901434808</v>
      </c>
      <c r="I2">
        <v>6.7501216504164782E-2</v>
      </c>
      <c r="J2">
        <v>1.7254714481660536</v>
      </c>
      <c r="K2">
        <v>0.29034289314871831</v>
      </c>
      <c r="L2">
        <v>0.5218060356075388</v>
      </c>
      <c r="M2">
        <v>0.42895130033364515</v>
      </c>
      <c r="N2">
        <v>0.63</v>
      </c>
    </row>
    <row r="3" spans="1:14" x14ac:dyDescent="0.2">
      <c r="A3" t="s">
        <v>69</v>
      </c>
      <c r="B3" s="4">
        <v>0.6</v>
      </c>
      <c r="C3" s="5">
        <v>0.01</v>
      </c>
      <c r="D3" s="5">
        <v>1.2204999999999999</v>
      </c>
      <c r="E3" t="s">
        <v>23</v>
      </c>
      <c r="F3">
        <v>4.0000000000000001E-3</v>
      </c>
      <c r="G3">
        <v>8.8534161490683237E-4</v>
      </c>
      <c r="H3">
        <v>3.7153587024329381E-2</v>
      </c>
      <c r="I3">
        <v>6.8413395105572414E-2</v>
      </c>
      <c r="J3">
        <v>1.1990289252727955</v>
      </c>
      <c r="K3">
        <v>0.238336784264502</v>
      </c>
      <c r="L3">
        <v>0.43135481167637213</v>
      </c>
      <c r="M3">
        <v>0.40187967974603339</v>
      </c>
      <c r="N3">
        <v>0.4</v>
      </c>
    </row>
    <row r="4" spans="1:14" x14ac:dyDescent="0.2">
      <c r="A4" t="s">
        <v>70</v>
      </c>
      <c r="B4" s="4">
        <v>0.9</v>
      </c>
      <c r="C4" s="5">
        <v>0.01</v>
      </c>
      <c r="D4" s="5">
        <v>1.6675</v>
      </c>
      <c r="E4" t="s">
        <v>23</v>
      </c>
      <c r="F4">
        <v>5.0000000000000001E-3</v>
      </c>
      <c r="G4">
        <v>6.1973913043478265E-3</v>
      </c>
      <c r="H4">
        <v>3.8651715533374924E-2</v>
      </c>
      <c r="I4">
        <v>6.3852502098534256E-2</v>
      </c>
      <c r="J4">
        <v>1.4913429952751727</v>
      </c>
      <c r="K4">
        <v>0.30163415052650538</v>
      </c>
      <c r="L4">
        <v>0.24172169445630623</v>
      </c>
      <c r="M4">
        <v>0.35851003277046445</v>
      </c>
      <c r="N4">
        <v>0.45</v>
      </c>
    </row>
    <row r="5" spans="1:14" x14ac:dyDescent="0.2">
      <c r="A5" t="s">
        <v>71</v>
      </c>
      <c r="B5" s="4">
        <v>1.3</v>
      </c>
      <c r="C5" s="2">
        <v>0.01</v>
      </c>
      <c r="D5" s="2">
        <v>2.1297999999999999</v>
      </c>
      <c r="E5" t="s">
        <v>23</v>
      </c>
      <c r="F5">
        <v>4.0000000000000001E-3</v>
      </c>
      <c r="G5">
        <v>3.0986956521739132E-3</v>
      </c>
      <c r="H5">
        <v>3.7153587024329381E-2</v>
      </c>
      <c r="I5" t="s">
        <v>23</v>
      </c>
      <c r="J5">
        <v>1.4020384333605656</v>
      </c>
      <c r="K5">
        <v>0.44803410816842931</v>
      </c>
      <c r="L5">
        <v>0.17370501547144643</v>
      </c>
      <c r="M5">
        <v>0.29591218986879003</v>
      </c>
      <c r="N5">
        <v>0.42</v>
      </c>
    </row>
    <row r="6" spans="1:14" x14ac:dyDescent="0.2">
      <c r="A6" t="s">
        <v>72</v>
      </c>
      <c r="B6" s="4">
        <v>1.8</v>
      </c>
      <c r="C6" s="2">
        <v>0.01</v>
      </c>
      <c r="D6" s="2">
        <v>2.0379</v>
      </c>
      <c r="E6" t="s">
        <v>23</v>
      </c>
      <c r="F6">
        <v>5.0000000000000001E-3</v>
      </c>
      <c r="G6">
        <v>5.3120496894409931E-3</v>
      </c>
      <c r="H6">
        <v>8.239706799750468E-2</v>
      </c>
      <c r="I6" t="s">
        <v>23</v>
      </c>
      <c r="J6">
        <v>1.5907330356275435</v>
      </c>
      <c r="K6">
        <v>0.52823048860438027</v>
      </c>
      <c r="L6">
        <v>0.21616288504137771</v>
      </c>
      <c r="M6">
        <v>0.27464865582729531</v>
      </c>
      <c r="N6">
        <v>0.62</v>
      </c>
    </row>
    <row r="7" spans="1:14" x14ac:dyDescent="0.2">
      <c r="A7" t="s">
        <v>73</v>
      </c>
      <c r="B7" s="4">
        <v>1.8</v>
      </c>
      <c r="C7" s="2">
        <v>0.01</v>
      </c>
      <c r="D7" s="2" t="s">
        <v>23</v>
      </c>
      <c r="E7" t="s">
        <v>23</v>
      </c>
      <c r="F7">
        <v>5.0000000000000001E-3</v>
      </c>
      <c r="G7">
        <v>3.5413664596273295E-3</v>
      </c>
      <c r="H7">
        <v>3.9550592638802243E-2</v>
      </c>
      <c r="I7" t="s">
        <v>23</v>
      </c>
      <c r="J7">
        <v>1.3554227827747105</v>
      </c>
      <c r="K7">
        <v>0.4175962773781659</v>
      </c>
      <c r="L7">
        <v>0.2222293780272471</v>
      </c>
      <c r="M7">
        <v>0.25376646905702255</v>
      </c>
      <c r="N7">
        <v>0.42</v>
      </c>
    </row>
    <row r="8" spans="1:14" x14ac:dyDescent="0.2">
      <c r="A8" t="s">
        <v>74</v>
      </c>
      <c r="B8" s="4">
        <v>2.4</v>
      </c>
      <c r="C8" s="2">
        <v>0.02</v>
      </c>
      <c r="D8" s="2">
        <v>1.9622999999999999</v>
      </c>
      <c r="E8">
        <v>1.2152388091668452E-2</v>
      </c>
      <c r="F8">
        <v>5.0000000000000001E-3</v>
      </c>
      <c r="G8">
        <v>1.0624099378881986E-2</v>
      </c>
      <c r="H8">
        <v>2.9063693075483468E-2</v>
      </c>
      <c r="I8" t="s">
        <v>23</v>
      </c>
      <c r="J8">
        <v>1.517328578591207</v>
      </c>
      <c r="K8">
        <v>0.67458805082890416</v>
      </c>
      <c r="L8">
        <v>0.23071962888344189</v>
      </c>
      <c r="M8">
        <v>0.31059841223308438</v>
      </c>
      <c r="N8">
        <v>0.69</v>
      </c>
    </row>
    <row r="9" spans="1:14" x14ac:dyDescent="0.2">
      <c r="A9" t="s">
        <v>75</v>
      </c>
      <c r="B9" s="4">
        <v>3</v>
      </c>
      <c r="C9" s="2">
        <v>0.01</v>
      </c>
      <c r="D9" s="2">
        <v>1.6366000000000001</v>
      </c>
      <c r="E9" t="s">
        <v>23</v>
      </c>
      <c r="F9">
        <v>5.0000000000000001E-3</v>
      </c>
      <c r="G9">
        <v>2.9658944099378883E-2</v>
      </c>
      <c r="H9">
        <v>2.3670430442919527E-2</v>
      </c>
      <c r="I9" t="s">
        <v>23</v>
      </c>
      <c r="J9">
        <v>1.9723462237083336</v>
      </c>
      <c r="K9">
        <v>1.2631621631746019</v>
      </c>
      <c r="L9">
        <v>0.42134069225723281</v>
      </c>
      <c r="M9">
        <v>0.24066469263368365</v>
      </c>
      <c r="N9">
        <v>0.36</v>
      </c>
    </row>
    <row r="10" spans="1:14" x14ac:dyDescent="0.2">
      <c r="A10" t="s">
        <v>76</v>
      </c>
      <c r="B10" s="4">
        <v>3.5</v>
      </c>
      <c r="C10" s="2">
        <v>0.01</v>
      </c>
      <c r="D10" s="2">
        <v>1.6566000000000001</v>
      </c>
      <c r="E10" t="s">
        <v>23</v>
      </c>
      <c r="F10">
        <v>6.0000000000000001E-3</v>
      </c>
      <c r="G10">
        <v>1.7706832298136647E-3</v>
      </c>
      <c r="H10">
        <v>2.0973799126637556E-2</v>
      </c>
      <c r="I10" t="s">
        <v>23</v>
      </c>
      <c r="J10">
        <v>2.0972302906353737</v>
      </c>
      <c r="K10">
        <v>1.4418626258217118</v>
      </c>
      <c r="L10">
        <v>0.43697692525164222</v>
      </c>
      <c r="M10">
        <v>0.21327538823775416</v>
      </c>
      <c r="N10">
        <v>0.36</v>
      </c>
    </row>
    <row r="11" spans="1:14" x14ac:dyDescent="0.2">
      <c r="A11" t="s">
        <v>77</v>
      </c>
      <c r="B11" s="4">
        <v>4</v>
      </c>
      <c r="C11" s="2">
        <v>0.02</v>
      </c>
      <c r="D11" s="2">
        <v>1.7902</v>
      </c>
      <c r="E11" t="s">
        <v>23</v>
      </c>
      <c r="F11">
        <v>6.0000000000000001E-3</v>
      </c>
      <c r="G11">
        <v>8.4107453416149072E-3</v>
      </c>
      <c r="H11">
        <v>3.1460698689956337E-2</v>
      </c>
      <c r="I11" t="s">
        <v>23</v>
      </c>
      <c r="J11">
        <v>2.6343509117662682</v>
      </c>
      <c r="K11">
        <v>1.9785544292700241</v>
      </c>
      <c r="L11">
        <v>0.59971108051859512</v>
      </c>
      <c r="M11">
        <v>0.20155535923349238</v>
      </c>
      <c r="N11">
        <v>0.65</v>
      </c>
    </row>
    <row r="12" spans="1:14" x14ac:dyDescent="0.2">
      <c r="A12" t="s">
        <v>78</v>
      </c>
      <c r="B12" s="4">
        <v>3.5</v>
      </c>
      <c r="C12" s="2">
        <v>0.01</v>
      </c>
      <c r="D12" s="2">
        <v>1.6484000000000001</v>
      </c>
      <c r="E12" t="s">
        <v>23</v>
      </c>
      <c r="F12">
        <v>5.0000000000000001E-3</v>
      </c>
      <c r="G12">
        <v>1.3280124223602483E-3</v>
      </c>
      <c r="H12">
        <v>1.9775296319401121E-2</v>
      </c>
      <c r="I12" t="s">
        <v>23</v>
      </c>
      <c r="J12">
        <v>2.1968543482347074</v>
      </c>
      <c r="K12">
        <v>1.6205730013577684</v>
      </c>
      <c r="L12">
        <v>0.42979024333565158</v>
      </c>
      <c r="M12">
        <v>0.30957540138851464</v>
      </c>
      <c r="N12">
        <v>0.59</v>
      </c>
    </row>
    <row r="13" spans="1:14" x14ac:dyDescent="0.2">
      <c r="A13" t="s">
        <v>79</v>
      </c>
      <c r="B13" s="4">
        <v>4</v>
      </c>
      <c r="C13" s="2">
        <v>0.05</v>
      </c>
      <c r="D13" s="2">
        <v>1.6279999999999999</v>
      </c>
      <c r="E13" t="s">
        <v>23</v>
      </c>
      <c r="F13">
        <v>5.0000000000000001E-3</v>
      </c>
      <c r="G13">
        <v>8.4107453416149072E-3</v>
      </c>
      <c r="H13">
        <v>3.1760324391765439E-2</v>
      </c>
      <c r="I13" t="s">
        <v>23</v>
      </c>
      <c r="J13">
        <v>2.4178961710026194</v>
      </c>
      <c r="K13">
        <v>1.8727698118823217</v>
      </c>
      <c r="L13">
        <v>0.48369365484960158</v>
      </c>
      <c r="M13">
        <v>0.19195041973666332</v>
      </c>
      <c r="N13">
        <v>0.56000000000000005</v>
      </c>
    </row>
    <row r="14" spans="1:14" x14ac:dyDescent="0.2">
      <c r="A14" t="s">
        <v>80</v>
      </c>
      <c r="B14" s="4">
        <v>4.5</v>
      </c>
      <c r="C14" s="2">
        <v>0</v>
      </c>
      <c r="D14" s="2">
        <v>1.6114999999999999</v>
      </c>
      <c r="E14" t="s">
        <v>23</v>
      </c>
      <c r="F14">
        <v>5.0000000000000001E-3</v>
      </c>
      <c r="G14">
        <v>8.8534161490683237E-4</v>
      </c>
      <c r="H14">
        <v>2.6367061759201497E-2</v>
      </c>
      <c r="I14" t="s">
        <v>23</v>
      </c>
      <c r="J14">
        <v>2.534638005885161</v>
      </c>
      <c r="K14" t="s">
        <v>23</v>
      </c>
      <c r="L14">
        <v>0.57172116291227748</v>
      </c>
      <c r="M14">
        <v>0.21357394172294367</v>
      </c>
      <c r="N14">
        <v>0.35</v>
      </c>
    </row>
    <row r="15" spans="1:14" x14ac:dyDescent="0.2">
      <c r="A15" t="s">
        <v>81</v>
      </c>
      <c r="B15" s="4">
        <v>5</v>
      </c>
      <c r="C15" s="2" t="s">
        <v>23</v>
      </c>
      <c r="D15" s="2">
        <v>1.9803999999999999</v>
      </c>
      <c r="E15" t="s">
        <v>23</v>
      </c>
      <c r="F15">
        <v>8.9999999999999993E-3</v>
      </c>
      <c r="G15">
        <v>4.4267080745341618E-4</v>
      </c>
      <c r="H15">
        <v>3.3857704304429193E-2</v>
      </c>
      <c r="I15" t="s">
        <v>23</v>
      </c>
      <c r="J15">
        <v>3.0615029271331022</v>
      </c>
      <c r="K15" t="s">
        <v>23</v>
      </c>
      <c r="L15">
        <v>0.7271162956089634</v>
      </c>
      <c r="M15">
        <v>0.41223617658983025</v>
      </c>
      <c r="N15">
        <v>0.66</v>
      </c>
    </row>
    <row r="16" spans="1:14" x14ac:dyDescent="0.2">
      <c r="A16" t="s">
        <v>82</v>
      </c>
      <c r="B16" s="4">
        <v>5.5</v>
      </c>
      <c r="C16" s="2">
        <v>0.01</v>
      </c>
      <c r="D16" s="2">
        <v>2.7793000000000001</v>
      </c>
      <c r="E16" t="s">
        <v>23</v>
      </c>
      <c r="F16">
        <v>1.6E-2</v>
      </c>
      <c r="G16">
        <v>4.4267080745341618E-4</v>
      </c>
      <c r="H16">
        <v>2.3071179039301309E-2</v>
      </c>
      <c r="I16" t="s">
        <v>23</v>
      </c>
      <c r="J16">
        <v>4.175916769006788</v>
      </c>
      <c r="K16" t="s">
        <v>23</v>
      </c>
      <c r="L16">
        <v>0.98914845823670605</v>
      </c>
      <c r="M16">
        <v>0.98965433728548136</v>
      </c>
      <c r="N16">
        <v>1.21</v>
      </c>
    </row>
    <row r="17" spans="1:14" x14ac:dyDescent="0.2">
      <c r="A17" t="s">
        <v>83</v>
      </c>
      <c r="B17" s="4">
        <v>6</v>
      </c>
      <c r="C17" s="2">
        <v>0.01</v>
      </c>
      <c r="D17" s="2">
        <v>5.1689999999999996</v>
      </c>
      <c r="E17" t="s">
        <v>23</v>
      </c>
      <c r="F17">
        <v>3.4000000000000002E-2</v>
      </c>
      <c r="G17">
        <v>6.6400621118012423E-3</v>
      </c>
      <c r="H17">
        <v>9.5880224578914538E-3</v>
      </c>
      <c r="I17">
        <v>0.14199580228578806</v>
      </c>
      <c r="J17">
        <v>5.0463714294187261</v>
      </c>
      <c r="K17" t="s">
        <v>23</v>
      </c>
      <c r="L17">
        <v>1.2288221832425281</v>
      </c>
      <c r="M17">
        <v>3.2680727481783096</v>
      </c>
      <c r="N17">
        <v>3.26</v>
      </c>
    </row>
    <row r="18" spans="1:14" x14ac:dyDescent="0.2">
      <c r="A18" t="s">
        <v>84</v>
      </c>
      <c r="B18" s="4">
        <v>6.5</v>
      </c>
      <c r="C18" s="2">
        <v>0.02</v>
      </c>
      <c r="D18" s="2">
        <v>6.8311999999999999</v>
      </c>
      <c r="E18" t="s">
        <v>23</v>
      </c>
      <c r="F18">
        <v>4.8000000000000001E-2</v>
      </c>
      <c r="G18">
        <v>4.4267080745341618E-4</v>
      </c>
      <c r="H18">
        <v>6.8913911416094821E-3</v>
      </c>
      <c r="I18">
        <v>0.24355168657583781</v>
      </c>
      <c r="J18">
        <v>8.523071768151171</v>
      </c>
      <c r="K18" t="s">
        <v>23</v>
      </c>
      <c r="L18">
        <v>2.10602109150134</v>
      </c>
      <c r="M18">
        <v>4.3195076004795565</v>
      </c>
      <c r="N18">
        <v>5.41</v>
      </c>
    </row>
    <row r="20" spans="1:14" x14ac:dyDescent="0.2">
      <c r="A20" s="1"/>
      <c r="B20" s="4"/>
      <c r="C20" s="2"/>
      <c r="D20" s="2"/>
    </row>
    <row r="22" spans="1:14" x14ac:dyDescent="0.2"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">
      <c r="F23" s="18"/>
      <c r="G23" s="18"/>
      <c r="H23" s="18"/>
      <c r="I23" s="18"/>
      <c r="J23" s="18"/>
      <c r="K23" s="18"/>
      <c r="L23" s="18"/>
      <c r="M23" s="18"/>
      <c r="N23" s="18"/>
    </row>
    <row r="24" spans="1:14" x14ac:dyDescent="0.2">
      <c r="C24" s="7"/>
      <c r="D24" s="7"/>
      <c r="E24" s="9"/>
      <c r="F24" s="9"/>
      <c r="G24" s="9"/>
      <c r="H24" s="9"/>
      <c r="I24" s="9"/>
      <c r="K24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9BFC-2343-8E49-9C26-56D35799B284}">
  <dimension ref="A1:N24"/>
  <sheetViews>
    <sheetView tabSelected="1" workbookViewId="0">
      <selection activeCell="B22" sqref="B22"/>
    </sheetView>
  </sheetViews>
  <sheetFormatPr baseColWidth="10" defaultRowHeight="16" x14ac:dyDescent="0.2"/>
  <cols>
    <col min="1" max="1" width="18" customWidth="1"/>
    <col min="2" max="14" width="11.33203125" customWidth="1"/>
    <col min="15" max="15" width="17.83203125" customWidth="1"/>
  </cols>
  <sheetData>
    <row r="1" spans="1:14" ht="20" x14ac:dyDescent="0.25">
      <c r="A1" t="s">
        <v>1</v>
      </c>
      <c r="B1" t="s">
        <v>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</row>
    <row r="2" spans="1:14" x14ac:dyDescent="0.2">
      <c r="A2" t="s">
        <v>85</v>
      </c>
      <c r="B2" s="4">
        <v>0.1</v>
      </c>
      <c r="C2" s="5">
        <v>0.01</v>
      </c>
      <c r="D2" s="5">
        <v>1.3432999999999999</v>
      </c>
      <c r="E2" t="s">
        <v>23</v>
      </c>
      <c r="F2">
        <v>6.0000000000000001E-3</v>
      </c>
      <c r="G2" t="s">
        <v>23</v>
      </c>
      <c r="H2">
        <v>1.438203368683718E-2</v>
      </c>
      <c r="I2">
        <v>9.0305681539355587E-2</v>
      </c>
      <c r="J2">
        <v>1.0937119421182304</v>
      </c>
      <c r="K2">
        <v>6.353269734968249E-2</v>
      </c>
      <c r="L2">
        <v>0.2567649875509585</v>
      </c>
      <c r="M2">
        <v>0.45829198372035973</v>
      </c>
      <c r="N2">
        <v>1.1000000000000001</v>
      </c>
    </row>
    <row r="3" spans="1:14" x14ac:dyDescent="0.2">
      <c r="A3" t="s">
        <v>86</v>
      </c>
      <c r="B3" s="4">
        <v>0.2</v>
      </c>
      <c r="C3" s="2">
        <v>0.01</v>
      </c>
      <c r="D3" s="2">
        <v>1.2938000000000001</v>
      </c>
      <c r="E3" t="s">
        <v>23</v>
      </c>
      <c r="F3">
        <v>5.0000000000000001E-3</v>
      </c>
      <c r="G3" t="s">
        <v>23</v>
      </c>
      <c r="H3" t="s">
        <v>23</v>
      </c>
      <c r="I3">
        <v>8.3312312261897073E-2</v>
      </c>
      <c r="J3">
        <v>1.108397624643024</v>
      </c>
      <c r="K3">
        <v>0.28429754330198542</v>
      </c>
      <c r="L3">
        <v>0.25555495669652045</v>
      </c>
      <c r="M3">
        <v>0.47308890542789073</v>
      </c>
      <c r="N3">
        <v>1.01</v>
      </c>
    </row>
    <row r="4" spans="1:14" x14ac:dyDescent="0.2">
      <c r="A4" t="s">
        <v>87</v>
      </c>
      <c r="B4" s="4">
        <v>0.3</v>
      </c>
      <c r="C4" s="2">
        <v>0.01</v>
      </c>
      <c r="D4" s="2">
        <v>1.3111999999999999</v>
      </c>
      <c r="E4" t="s">
        <v>23</v>
      </c>
      <c r="F4">
        <v>5.0000000000000001E-3</v>
      </c>
      <c r="G4" t="s">
        <v>23</v>
      </c>
      <c r="H4">
        <v>1.8876419213973799E-2</v>
      </c>
      <c r="I4">
        <v>0.10368430102666752</v>
      </c>
      <c r="J4">
        <v>1.0948198575770038</v>
      </c>
      <c r="K4">
        <v>0.16638927541152609</v>
      </c>
      <c r="L4">
        <v>0.25558087182849965</v>
      </c>
      <c r="M4">
        <v>0.46518271672586775</v>
      </c>
      <c r="N4">
        <v>1.07</v>
      </c>
    </row>
    <row r="5" spans="1:14" x14ac:dyDescent="0.2">
      <c r="A5" t="s">
        <v>88</v>
      </c>
      <c r="B5" s="4">
        <v>0.5</v>
      </c>
      <c r="C5" s="2">
        <v>0.01</v>
      </c>
      <c r="D5" s="2">
        <v>1.3569</v>
      </c>
      <c r="E5" t="s">
        <v>23</v>
      </c>
      <c r="F5">
        <v>6.0000000000000001E-3</v>
      </c>
      <c r="G5">
        <v>4.8693788819875782E-3</v>
      </c>
      <c r="H5">
        <v>3.5355832813474736E-2</v>
      </c>
      <c r="I5">
        <v>9.3650336411183574E-2</v>
      </c>
      <c r="J5">
        <v>1.1294911086253232</v>
      </c>
      <c r="K5">
        <v>0.24228091227038365</v>
      </c>
      <c r="L5">
        <v>0.2558600580234196</v>
      </c>
      <c r="M5">
        <v>0.45830371531671799</v>
      </c>
      <c r="N5">
        <v>1.0900000000000001</v>
      </c>
    </row>
    <row r="6" spans="1:14" x14ac:dyDescent="0.2">
      <c r="A6" t="s">
        <v>89</v>
      </c>
      <c r="B6" s="4">
        <v>0.75</v>
      </c>
      <c r="C6" s="2">
        <v>0.01</v>
      </c>
      <c r="D6" s="2">
        <v>1.3373999999999999</v>
      </c>
      <c r="E6" t="s">
        <v>23</v>
      </c>
      <c r="F6">
        <v>6.0000000000000001E-3</v>
      </c>
      <c r="G6">
        <v>1.0181428571428572E-2</v>
      </c>
      <c r="H6">
        <v>2.3071179039301309E-2</v>
      </c>
      <c r="I6">
        <v>7.2670228578808033E-2</v>
      </c>
      <c r="J6">
        <v>1.1528875113624026</v>
      </c>
      <c r="K6">
        <v>0.11610321194227852</v>
      </c>
      <c r="L6">
        <v>0.23967649912168323</v>
      </c>
      <c r="M6">
        <v>0.47685834554844553</v>
      </c>
      <c r="N6">
        <v>0.99</v>
      </c>
    </row>
    <row r="7" spans="1:14" x14ac:dyDescent="0.2">
      <c r="A7" t="s">
        <v>90</v>
      </c>
      <c r="B7" s="4">
        <v>1</v>
      </c>
      <c r="C7" s="2">
        <v>0.03</v>
      </c>
      <c r="D7" s="2">
        <v>1.3564000000000001</v>
      </c>
      <c r="E7" t="s">
        <v>23</v>
      </c>
      <c r="F7">
        <v>6.0000000000000001E-3</v>
      </c>
      <c r="G7" t="s">
        <v>23</v>
      </c>
      <c r="H7">
        <v>2.2471927635683092E-2</v>
      </c>
      <c r="I7">
        <v>6.7501216504164782E-2</v>
      </c>
      <c r="J7">
        <v>1.1246523643030482</v>
      </c>
      <c r="K7">
        <v>2.8845718337470325E-2</v>
      </c>
      <c r="L7">
        <v>0.20946157632660495</v>
      </c>
      <c r="M7">
        <v>0.46742824594267596</v>
      </c>
      <c r="N7">
        <v>1.46</v>
      </c>
    </row>
    <row r="8" spans="1:14" x14ac:dyDescent="0.2">
      <c r="A8" t="s">
        <v>91</v>
      </c>
      <c r="B8" s="4">
        <v>1.25</v>
      </c>
      <c r="C8" s="2">
        <v>0.03</v>
      </c>
      <c r="D8" s="2">
        <v>1.3661000000000001</v>
      </c>
      <c r="E8" t="s">
        <v>23</v>
      </c>
      <c r="F8">
        <v>5.0000000000000001E-3</v>
      </c>
      <c r="G8">
        <v>8.8534161490683237E-4</v>
      </c>
      <c r="H8">
        <v>2.1273424828446665E-2</v>
      </c>
      <c r="I8">
        <v>0.13287401627171178</v>
      </c>
      <c r="J8">
        <v>1.2001259259754178</v>
      </c>
      <c r="K8">
        <v>0.324013217109343</v>
      </c>
      <c r="L8">
        <v>0.26472299115846576</v>
      </c>
      <c r="M8">
        <v>0.60917307686456279</v>
      </c>
      <c r="N8">
        <v>1.3</v>
      </c>
    </row>
    <row r="9" spans="1:14" x14ac:dyDescent="0.2">
      <c r="A9" t="s">
        <v>92</v>
      </c>
      <c r="B9" s="4">
        <v>2.08</v>
      </c>
      <c r="C9" s="2">
        <v>0.03</v>
      </c>
      <c r="D9" s="2">
        <v>6.1513</v>
      </c>
      <c r="E9" t="s">
        <v>23</v>
      </c>
      <c r="F9">
        <v>0.03</v>
      </c>
      <c r="G9">
        <v>8.4107453416149072E-3</v>
      </c>
      <c r="H9">
        <v>6.5917654398003744E-3</v>
      </c>
      <c r="I9">
        <v>1.7115511157745205</v>
      </c>
      <c r="J9">
        <v>6.7640761005416357</v>
      </c>
      <c r="K9" t="s">
        <v>23</v>
      </c>
      <c r="L9">
        <v>1.1237851291988019</v>
      </c>
      <c r="M9">
        <v>4.9349689974879372</v>
      </c>
      <c r="N9">
        <v>6.13</v>
      </c>
    </row>
    <row r="10" spans="1:14" x14ac:dyDescent="0.2">
      <c r="A10" t="s">
        <v>93</v>
      </c>
      <c r="B10" s="4">
        <v>2.5</v>
      </c>
      <c r="C10" s="2">
        <v>0.01</v>
      </c>
      <c r="D10" s="2">
        <v>4.7256</v>
      </c>
      <c r="E10" t="s">
        <v>23</v>
      </c>
      <c r="F10">
        <v>2.5000000000000001E-2</v>
      </c>
      <c r="G10">
        <v>0</v>
      </c>
      <c r="H10">
        <v>1.857679351216469E-2</v>
      </c>
      <c r="I10">
        <v>6.2295717285465226</v>
      </c>
      <c r="J10">
        <v>2.6483195381459339</v>
      </c>
      <c r="K10">
        <v>1.0464938610711425</v>
      </c>
      <c r="L10">
        <v>0.43437297951066739</v>
      </c>
      <c r="M10">
        <v>1.9646841102673709</v>
      </c>
      <c r="N10">
        <v>2.68</v>
      </c>
    </row>
    <row r="11" spans="1:14" x14ac:dyDescent="0.2">
      <c r="A11" t="s">
        <v>94</v>
      </c>
      <c r="B11" s="4">
        <v>3</v>
      </c>
      <c r="C11" s="2">
        <v>0.02</v>
      </c>
      <c r="D11" s="2">
        <v>4.7203999999999997</v>
      </c>
      <c r="E11" t="s">
        <v>23</v>
      </c>
      <c r="F11">
        <v>2.5999999999999999E-2</v>
      </c>
      <c r="G11">
        <v>0</v>
      </c>
      <c r="H11">
        <v>0.51355845290081092</v>
      </c>
      <c r="I11">
        <v>1.0660327255117197</v>
      </c>
      <c r="J11">
        <v>2.9403216844594882</v>
      </c>
      <c r="K11">
        <v>1.0967289821567658</v>
      </c>
      <c r="L11">
        <v>0.41740869050645285</v>
      </c>
      <c r="M11">
        <v>2.5411124605361457</v>
      </c>
      <c r="N11">
        <v>2.76</v>
      </c>
    </row>
    <row r="12" spans="1:14" x14ac:dyDescent="0.2">
      <c r="A12" t="s">
        <v>95</v>
      </c>
      <c r="B12" s="4">
        <v>4</v>
      </c>
      <c r="C12" s="2">
        <v>0.02</v>
      </c>
      <c r="D12" s="2">
        <v>6.4938000000000002</v>
      </c>
      <c r="E12" t="s">
        <v>23</v>
      </c>
      <c r="F12">
        <v>3.4000000000000002E-2</v>
      </c>
      <c r="G12">
        <v>1.3280124223602483E-3</v>
      </c>
      <c r="H12">
        <v>8.6891453524641296E-3</v>
      </c>
      <c r="I12">
        <v>0.79785221669787565</v>
      </c>
      <c r="J12">
        <v>3.513498430649348</v>
      </c>
      <c r="K12">
        <v>1.0298483169253345</v>
      </c>
      <c r="L12">
        <v>0.43899628945795532</v>
      </c>
      <c r="M12">
        <v>4.4710170379247076</v>
      </c>
      <c r="N12">
        <v>5.17</v>
      </c>
    </row>
    <row r="13" spans="1:14" x14ac:dyDescent="0.2">
      <c r="A13" t="s">
        <v>96</v>
      </c>
      <c r="B13" s="4">
        <v>4.5</v>
      </c>
      <c r="C13" s="2">
        <v>0.04</v>
      </c>
      <c r="D13" s="2">
        <v>11.3477</v>
      </c>
      <c r="E13" t="s">
        <v>23</v>
      </c>
      <c r="F13">
        <v>5.3999999999999999E-2</v>
      </c>
      <c r="G13">
        <v>1.150944099378882E-2</v>
      </c>
      <c r="H13">
        <v>8.9887710542732374E-4</v>
      </c>
      <c r="I13">
        <v>1.7687143081293988</v>
      </c>
      <c r="J13">
        <v>10.967364159278228</v>
      </c>
      <c r="K13">
        <v>1.245264103330999</v>
      </c>
      <c r="L13">
        <v>1.0032783794350546</v>
      </c>
      <c r="M13">
        <v>5.4592806147153539</v>
      </c>
      <c r="N13">
        <v>7.67</v>
      </c>
    </row>
    <row r="14" spans="1:14" x14ac:dyDescent="0.2">
      <c r="A14" t="s">
        <v>97</v>
      </c>
      <c r="B14" s="4">
        <v>5</v>
      </c>
      <c r="C14" s="2">
        <v>0.04</v>
      </c>
      <c r="D14" s="2">
        <v>10.0116</v>
      </c>
      <c r="E14" t="s">
        <v>23</v>
      </c>
      <c r="F14">
        <v>4.7E-2</v>
      </c>
      <c r="G14">
        <v>0</v>
      </c>
      <c r="H14">
        <v>1.0786525265127885E-2</v>
      </c>
      <c r="I14">
        <v>1.6732396145154</v>
      </c>
      <c r="J14">
        <v>10.342230546682723</v>
      </c>
      <c r="K14">
        <v>1.0661645114239113</v>
      </c>
      <c r="L14">
        <v>1.0878533156885655</v>
      </c>
      <c r="M14">
        <v>4.982257419984637</v>
      </c>
      <c r="N14">
        <v>7.01</v>
      </c>
    </row>
    <row r="15" spans="1:14" x14ac:dyDescent="0.2">
      <c r="A15" t="s">
        <v>98</v>
      </c>
      <c r="B15" s="4">
        <v>5.5</v>
      </c>
      <c r="C15" s="2">
        <v>0.03</v>
      </c>
      <c r="D15" s="2">
        <v>7.1081000000000003</v>
      </c>
      <c r="E15" t="s">
        <v>23</v>
      </c>
      <c r="F15">
        <v>3.5000000000000003E-2</v>
      </c>
      <c r="G15" t="s">
        <v>23</v>
      </c>
      <c r="H15">
        <v>5.6928883343730502E-3</v>
      </c>
      <c r="I15">
        <v>1.2542455769354943</v>
      </c>
      <c r="J15">
        <v>10.185012381337515</v>
      </c>
      <c r="K15">
        <v>1.0846888958205751</v>
      </c>
      <c r="L15">
        <v>1.1165220459455825</v>
      </c>
      <c r="M15">
        <v>4.84700088920785</v>
      </c>
      <c r="N15">
        <v>5.21</v>
      </c>
    </row>
    <row r="16" spans="1:14" x14ac:dyDescent="0.2">
      <c r="A16" t="s">
        <v>99</v>
      </c>
      <c r="B16" s="4">
        <v>6</v>
      </c>
      <c r="C16" s="2">
        <v>0.03</v>
      </c>
      <c r="D16" s="2">
        <v>4.3951000000000002</v>
      </c>
      <c r="E16" t="s">
        <v>23</v>
      </c>
      <c r="F16">
        <v>2.3E-2</v>
      </c>
      <c r="G16">
        <v>1.9920186335403725E-2</v>
      </c>
      <c r="H16" t="s">
        <v>23</v>
      </c>
      <c r="I16">
        <v>1.6936116032801707</v>
      </c>
      <c r="J16">
        <v>9.1620886661917709</v>
      </c>
      <c r="K16">
        <v>1.1894855587896236</v>
      </c>
      <c r="L16">
        <v>0.96350054192956702</v>
      </c>
      <c r="M16">
        <v>4.7459505884492756</v>
      </c>
      <c r="N16">
        <v>5.13</v>
      </c>
    </row>
    <row r="17" spans="1:14" x14ac:dyDescent="0.2">
      <c r="A17" t="s">
        <v>100</v>
      </c>
      <c r="B17" s="4">
        <v>6.5</v>
      </c>
      <c r="C17" s="2">
        <v>0.04</v>
      </c>
      <c r="D17" s="2">
        <v>3.1741999999999999</v>
      </c>
      <c r="E17" t="s">
        <v>23</v>
      </c>
      <c r="F17">
        <v>1.7000000000000001E-2</v>
      </c>
      <c r="G17">
        <v>4.4267080745341618E-4</v>
      </c>
      <c r="H17">
        <v>9.3183593262632564E-2</v>
      </c>
      <c r="I17">
        <v>1.813411059598373</v>
      </c>
      <c r="J17">
        <v>6.5712222042937487</v>
      </c>
      <c r="K17">
        <v>1.6919882425937487</v>
      </c>
      <c r="L17">
        <v>1.1830012477730711</v>
      </c>
      <c r="M17">
        <v>5.6964662288496566</v>
      </c>
      <c r="N17">
        <v>5.09</v>
      </c>
    </row>
    <row r="18" spans="1:14" x14ac:dyDescent="0.2">
      <c r="C18" s="2"/>
      <c r="D18" s="2"/>
    </row>
    <row r="19" spans="1:14" x14ac:dyDescent="0.2">
      <c r="A19" s="1"/>
      <c r="B19" s="4"/>
      <c r="C19" s="2"/>
      <c r="D19" s="2"/>
    </row>
    <row r="20" spans="1:14" x14ac:dyDescent="0.2">
      <c r="A20" s="1"/>
      <c r="B20" s="4"/>
      <c r="C20" s="2"/>
      <c r="D20" s="2"/>
    </row>
    <row r="21" spans="1:14" x14ac:dyDescent="0.2">
      <c r="A21" s="1"/>
      <c r="B21" s="4"/>
      <c r="C21" s="2"/>
      <c r="D21" s="2"/>
    </row>
    <row r="22" spans="1:14" x14ac:dyDescent="0.2"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">
      <c r="F23" s="18"/>
      <c r="G23" s="18"/>
      <c r="H23" s="18"/>
      <c r="I23" s="18"/>
      <c r="J23" s="18"/>
      <c r="K23" s="18"/>
      <c r="L23" s="18"/>
      <c r="M23" s="18"/>
      <c r="N23" s="18"/>
    </row>
    <row r="24" spans="1:14" x14ac:dyDescent="0.2">
      <c r="C24" s="7"/>
      <c r="D24" s="7"/>
      <c r="E24" s="9"/>
      <c r="F24" s="9"/>
      <c r="G24" s="9"/>
      <c r="H24" s="9"/>
      <c r="I24" s="9"/>
      <c r="K24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9A64-1D70-484B-87F2-FE01DB55976F}">
  <dimension ref="A1:N24"/>
  <sheetViews>
    <sheetView workbookViewId="0">
      <selection activeCell="C20" sqref="C20:O47"/>
    </sheetView>
  </sheetViews>
  <sheetFormatPr baseColWidth="10" defaultRowHeight="16" x14ac:dyDescent="0.2"/>
  <cols>
    <col min="1" max="1" width="18" customWidth="1"/>
    <col min="2" max="14" width="11.5" customWidth="1"/>
  </cols>
  <sheetData>
    <row r="1" spans="1:14" ht="20" x14ac:dyDescent="0.25">
      <c r="A1" t="s">
        <v>1</v>
      </c>
      <c r="B1" t="s">
        <v>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</row>
    <row r="2" spans="1:14" x14ac:dyDescent="0.2">
      <c r="A2" t="s">
        <v>101</v>
      </c>
      <c r="B2" s="4">
        <v>0.3</v>
      </c>
      <c r="C2" s="5">
        <v>0.01</v>
      </c>
      <c r="D2" s="5">
        <v>1.6451</v>
      </c>
      <c r="E2" t="s">
        <v>23</v>
      </c>
      <c r="F2">
        <v>4.0000000000000001E-3</v>
      </c>
      <c r="G2">
        <v>3.9840372670807457E-3</v>
      </c>
      <c r="H2">
        <v>1.588016219588272E-2</v>
      </c>
      <c r="I2">
        <v>6.6589037902757151E-2</v>
      </c>
      <c r="J2">
        <v>1.5742318201899614</v>
      </c>
      <c r="K2">
        <v>0.10076067281124056</v>
      </c>
      <c r="L2">
        <v>0.33487012920228854</v>
      </c>
      <c r="M2">
        <v>0.38015968493236685</v>
      </c>
      <c r="N2">
        <v>0.72</v>
      </c>
    </row>
    <row r="3" spans="1:14" x14ac:dyDescent="0.2">
      <c r="A3" t="s">
        <v>102</v>
      </c>
      <c r="B3" s="4">
        <v>0.6</v>
      </c>
      <c r="C3" s="5">
        <v>0.01</v>
      </c>
      <c r="D3" s="5">
        <v>1.6136999999999999</v>
      </c>
      <c r="E3" t="s">
        <v>23</v>
      </c>
      <c r="F3">
        <v>5.0000000000000001E-3</v>
      </c>
      <c r="G3">
        <v>8.8534161490683237E-4</v>
      </c>
      <c r="H3">
        <v>1.3782782283218964E-2</v>
      </c>
      <c r="I3">
        <v>6.3244383030929163E-2</v>
      </c>
      <c r="J3">
        <v>1.5603770945720694</v>
      </c>
      <c r="K3">
        <v>0.10798688737028224</v>
      </c>
      <c r="L3">
        <v>0.33763441694704055</v>
      </c>
      <c r="M3">
        <v>0.38059138421515848</v>
      </c>
      <c r="N3">
        <v>0.52</v>
      </c>
    </row>
    <row r="4" spans="1:14" x14ac:dyDescent="0.2">
      <c r="A4" t="s">
        <v>103</v>
      </c>
      <c r="B4" s="4">
        <v>0.9</v>
      </c>
      <c r="C4" s="2">
        <v>0.01</v>
      </c>
      <c r="D4" s="2">
        <v>1.5772999999999999</v>
      </c>
      <c r="E4" t="s">
        <v>23</v>
      </c>
      <c r="F4">
        <v>6.0000000000000001E-3</v>
      </c>
      <c r="G4">
        <v>0</v>
      </c>
      <c r="H4">
        <v>1.0786525265127885E-2</v>
      </c>
      <c r="I4" t="s">
        <v>23</v>
      </c>
      <c r="J4">
        <v>1.5479087461136229</v>
      </c>
      <c r="K4">
        <v>0.34362284733639747</v>
      </c>
      <c r="L4">
        <v>0.28853320119415377</v>
      </c>
      <c r="M4">
        <v>0.4033538330390925</v>
      </c>
      <c r="N4">
        <v>0.59</v>
      </c>
    </row>
    <row r="5" spans="1:14" x14ac:dyDescent="0.2">
      <c r="A5" t="s">
        <v>104</v>
      </c>
      <c r="B5" s="4">
        <v>1.3</v>
      </c>
      <c r="C5" s="2">
        <v>0.01</v>
      </c>
      <c r="D5" s="2">
        <v>1.45</v>
      </c>
      <c r="E5" t="s">
        <v>23</v>
      </c>
      <c r="F5">
        <v>7.0000000000000001E-3</v>
      </c>
      <c r="G5">
        <v>1.0181428571428572E-2</v>
      </c>
      <c r="H5">
        <v>2.4868933250155958E-2</v>
      </c>
      <c r="I5" t="s">
        <v>23</v>
      </c>
      <c r="J5">
        <v>1.9567981671125299</v>
      </c>
      <c r="K5">
        <v>0.51473269757525353</v>
      </c>
      <c r="L5">
        <v>0.32395112225744499</v>
      </c>
      <c r="M5">
        <v>0.77969151708946249</v>
      </c>
      <c r="N5">
        <v>1.08</v>
      </c>
    </row>
    <row r="6" spans="1:14" x14ac:dyDescent="0.2">
      <c r="A6" t="s">
        <v>105</v>
      </c>
      <c r="B6" s="4">
        <v>1.7</v>
      </c>
      <c r="C6" s="2">
        <v>0.01</v>
      </c>
      <c r="D6" s="2">
        <v>1.5661</v>
      </c>
      <c r="E6" t="s">
        <v>23</v>
      </c>
      <c r="F6">
        <v>8.9999999999999993E-3</v>
      </c>
      <c r="G6">
        <v>2.2133540372670808E-3</v>
      </c>
      <c r="H6">
        <v>3.5655458515283844E-2</v>
      </c>
      <c r="I6">
        <v>7.3582407180215664E-2</v>
      </c>
      <c r="J6">
        <v>2.2426387575341584</v>
      </c>
      <c r="K6">
        <v>0.77957673695706409</v>
      </c>
      <c r="L6">
        <v>0.37061770166483193</v>
      </c>
      <c r="M6">
        <v>0.87767388026332005</v>
      </c>
      <c r="N6">
        <v>1</v>
      </c>
    </row>
    <row r="7" spans="1:14" x14ac:dyDescent="0.2">
      <c r="A7" t="s">
        <v>106</v>
      </c>
      <c r="B7" s="4">
        <v>2.1</v>
      </c>
      <c r="C7" s="2">
        <v>0.01</v>
      </c>
      <c r="D7" s="2">
        <v>1.7606999999999999</v>
      </c>
      <c r="E7" t="s">
        <v>23</v>
      </c>
      <c r="F7">
        <v>0.01</v>
      </c>
      <c r="G7">
        <v>1.3280124223602483E-3</v>
      </c>
      <c r="H7">
        <v>2.3370804741110418E-2</v>
      </c>
      <c r="I7" t="s">
        <v>23</v>
      </c>
      <c r="J7">
        <v>2.7925817389787229</v>
      </c>
      <c r="K7">
        <v>0.76024906112478574</v>
      </c>
      <c r="L7">
        <v>0.50322408794360585</v>
      </c>
      <c r="M7">
        <v>1.1310229593753514</v>
      </c>
      <c r="N7">
        <v>1.1499999999999999</v>
      </c>
    </row>
    <row r="8" spans="1:14" x14ac:dyDescent="0.2">
      <c r="A8" t="s">
        <v>107</v>
      </c>
      <c r="B8" s="4">
        <v>2.5</v>
      </c>
      <c r="C8" s="2">
        <v>0.01</v>
      </c>
      <c r="D8" s="2">
        <v>2.1162999999999998</v>
      </c>
      <c r="E8" t="s">
        <v>23</v>
      </c>
      <c r="F8">
        <v>1.2999999999999999E-2</v>
      </c>
      <c r="G8">
        <v>8.8534161490683237E-4</v>
      </c>
      <c r="H8">
        <v>7.4906425452276985E-3</v>
      </c>
      <c r="I8" t="s">
        <v>23</v>
      </c>
      <c r="J8">
        <v>3.2914442439355707</v>
      </c>
      <c r="K8">
        <v>0.85001976310609051</v>
      </c>
      <c r="L8">
        <v>0.56974842074242615</v>
      </c>
      <c r="M8">
        <v>1.2459944963839533</v>
      </c>
      <c r="N8">
        <v>1.67</v>
      </c>
    </row>
    <row r="9" spans="1:14" x14ac:dyDescent="0.2">
      <c r="A9" t="s">
        <v>108</v>
      </c>
      <c r="B9" s="4">
        <v>3</v>
      </c>
      <c r="C9" s="2">
        <v>0</v>
      </c>
      <c r="D9" s="2">
        <v>2.3439999999999999</v>
      </c>
      <c r="E9" t="s">
        <v>23</v>
      </c>
      <c r="F9">
        <v>1.4E-2</v>
      </c>
      <c r="G9">
        <v>2.6560248447204966E-3</v>
      </c>
      <c r="H9">
        <v>3.595508421709295E-3</v>
      </c>
      <c r="I9">
        <v>7.6623002518241112E-2</v>
      </c>
      <c r="J9">
        <v>4.76542866654653</v>
      </c>
      <c r="K9">
        <v>1.292625032953062</v>
      </c>
      <c r="L9">
        <v>0.79774487968246421</v>
      </c>
      <c r="M9">
        <v>1.9053099692657929</v>
      </c>
      <c r="N9">
        <v>1.48</v>
      </c>
    </row>
    <row r="10" spans="1:14" x14ac:dyDescent="0.2">
      <c r="A10" t="s">
        <v>109</v>
      </c>
      <c r="B10" s="4">
        <v>3.5</v>
      </c>
      <c r="C10" s="2">
        <v>0</v>
      </c>
      <c r="D10" s="2">
        <v>2.4790999999999999</v>
      </c>
      <c r="E10" t="s">
        <v>23</v>
      </c>
      <c r="F10">
        <v>1.4999999999999999E-2</v>
      </c>
      <c r="G10">
        <v>1.3280124223602483E-3</v>
      </c>
      <c r="H10">
        <v>1.7078665003119154E-2</v>
      </c>
      <c r="I10">
        <v>0.103380241492865</v>
      </c>
      <c r="J10">
        <v>4.9424652394351964</v>
      </c>
      <c r="K10">
        <v>1.3589427104352483</v>
      </c>
      <c r="L10">
        <v>0.87237126138072463</v>
      </c>
      <c r="M10">
        <v>0.94711116563122422</v>
      </c>
      <c r="N10">
        <v>2.09</v>
      </c>
    </row>
    <row r="11" spans="1:14" x14ac:dyDescent="0.2">
      <c r="A11" t="s">
        <v>110</v>
      </c>
      <c r="B11" s="4">
        <v>4</v>
      </c>
      <c r="C11" s="2">
        <v>0</v>
      </c>
      <c r="D11" s="2">
        <v>2.6566999999999998</v>
      </c>
      <c r="E11" t="s">
        <v>23</v>
      </c>
      <c r="F11">
        <v>1.4999999999999999E-2</v>
      </c>
      <c r="G11" t="s">
        <v>23</v>
      </c>
      <c r="H11">
        <v>1.857679351216469E-2</v>
      </c>
      <c r="I11">
        <v>0.18912503002518241</v>
      </c>
      <c r="J11">
        <v>6.1852770226226212</v>
      </c>
      <c r="K11" t="s">
        <v>23</v>
      </c>
      <c r="L11">
        <v>1.0911794829763508</v>
      </c>
      <c r="M11">
        <v>1.3646134258056628</v>
      </c>
      <c r="N11">
        <v>2.0099999999999998</v>
      </c>
    </row>
    <row r="12" spans="1:14" x14ac:dyDescent="0.2">
      <c r="A12" t="s">
        <v>111</v>
      </c>
      <c r="B12" s="4">
        <v>4.5</v>
      </c>
      <c r="C12" s="2">
        <v>0</v>
      </c>
      <c r="D12" s="2">
        <v>2.9866999999999999</v>
      </c>
      <c r="E12" t="s">
        <v>23</v>
      </c>
      <c r="F12">
        <v>1.7000000000000001E-2</v>
      </c>
      <c r="G12">
        <v>1.1952111801242237E-2</v>
      </c>
      <c r="H12">
        <v>5.9925140361821588E-3</v>
      </c>
      <c r="I12">
        <v>0.1076370749661006</v>
      </c>
      <c r="J12">
        <v>8.9359161361454724</v>
      </c>
      <c r="K12" t="s">
        <v>23</v>
      </c>
      <c r="L12">
        <v>1.4322966060541438</v>
      </c>
      <c r="M12">
        <v>1.3874980005476862</v>
      </c>
      <c r="N12">
        <v>1.98</v>
      </c>
    </row>
    <row r="13" spans="1:14" x14ac:dyDescent="0.2">
      <c r="A13" t="s">
        <v>112</v>
      </c>
      <c r="B13" s="4">
        <v>5</v>
      </c>
      <c r="C13" s="2">
        <v>0.01</v>
      </c>
      <c r="D13" s="2">
        <v>3.2528999999999999</v>
      </c>
      <c r="E13" t="s">
        <v>23</v>
      </c>
      <c r="F13">
        <v>1.7999999999999999E-2</v>
      </c>
      <c r="G13">
        <v>3.0986956521739132E-3</v>
      </c>
      <c r="H13">
        <v>1.0786525265127885E-2</v>
      </c>
      <c r="I13">
        <v>0.2152741499322012</v>
      </c>
      <c r="J13">
        <v>9.351178285129885</v>
      </c>
      <c r="K13" t="s">
        <v>23</v>
      </c>
      <c r="L13">
        <v>1.4751681096917104</v>
      </c>
      <c r="M13">
        <v>1.5693748628717648</v>
      </c>
      <c r="N13">
        <v>2.15</v>
      </c>
    </row>
    <row r="14" spans="1:14" x14ac:dyDescent="0.2">
      <c r="A14" t="s">
        <v>113</v>
      </c>
      <c r="B14" s="4">
        <v>5.5</v>
      </c>
      <c r="C14" s="2">
        <v>0.01</v>
      </c>
      <c r="D14" s="2">
        <v>3.5131000000000001</v>
      </c>
      <c r="E14" t="s">
        <v>23</v>
      </c>
      <c r="F14">
        <v>1.7999999999999999E-2</v>
      </c>
      <c r="G14">
        <v>7.9680745341614914E-3</v>
      </c>
      <c r="H14">
        <v>8.9887710542732382E-3</v>
      </c>
      <c r="I14">
        <v>0.22713247175050041</v>
      </c>
      <c r="J14">
        <v>10.249835104578866</v>
      </c>
      <c r="K14" t="s">
        <v>23</v>
      </c>
      <c r="L14">
        <v>1.5590588990615211</v>
      </c>
      <c r="M14">
        <v>1.7913903341130593</v>
      </c>
      <c r="N14">
        <v>2.7</v>
      </c>
    </row>
    <row r="15" spans="1:14" x14ac:dyDescent="0.2">
      <c r="A15" t="s">
        <v>114</v>
      </c>
      <c r="B15" s="4">
        <v>6</v>
      </c>
      <c r="C15" s="2">
        <v>0.02</v>
      </c>
      <c r="D15" s="2">
        <v>3.8264</v>
      </c>
      <c r="E15" t="s">
        <v>23</v>
      </c>
      <c r="F15">
        <v>2.1000000000000001E-2</v>
      </c>
      <c r="G15">
        <v>3.0986956521739132E-3</v>
      </c>
      <c r="H15">
        <v>1.1985028072364318E-2</v>
      </c>
      <c r="I15">
        <v>0.27274140182088202</v>
      </c>
      <c r="J15">
        <v>13.190760722657309</v>
      </c>
      <c r="K15" t="s">
        <v>23</v>
      </c>
      <c r="L15">
        <v>1.8400602872695893</v>
      </c>
      <c r="M15">
        <v>2.2548106724767809</v>
      </c>
      <c r="N15">
        <v>3.31</v>
      </c>
    </row>
    <row r="16" spans="1:14" x14ac:dyDescent="0.2">
      <c r="A16" t="s">
        <v>115</v>
      </c>
      <c r="B16" s="4">
        <v>6.5</v>
      </c>
      <c r="C16" s="2">
        <v>0.03</v>
      </c>
      <c r="D16" s="2">
        <v>5.5747</v>
      </c>
      <c r="E16" t="s">
        <v>23</v>
      </c>
      <c r="F16">
        <v>2.9000000000000001E-2</v>
      </c>
      <c r="G16">
        <v>9.7387577639751564E-3</v>
      </c>
      <c r="H16">
        <v>3.8951341235184027E-3</v>
      </c>
      <c r="I16">
        <v>0.610855603409311</v>
      </c>
      <c r="J16">
        <v>15.717781318447651</v>
      </c>
      <c r="K16" t="s">
        <v>23</v>
      </c>
      <c r="L16">
        <v>2.0764919956633481</v>
      </c>
      <c r="M16">
        <v>3.4102087887334234</v>
      </c>
      <c r="N16">
        <v>4.0999999999999996</v>
      </c>
    </row>
    <row r="17" spans="1:14" x14ac:dyDescent="0.2">
      <c r="C17" s="2"/>
      <c r="D17" s="2"/>
    </row>
    <row r="18" spans="1:14" x14ac:dyDescent="0.2">
      <c r="C18" s="2"/>
      <c r="D18" s="2"/>
    </row>
    <row r="19" spans="1:14" x14ac:dyDescent="0.2">
      <c r="A19" s="1"/>
      <c r="B19" s="4"/>
      <c r="C19" s="2"/>
      <c r="D19" s="2"/>
    </row>
    <row r="20" spans="1:14" x14ac:dyDescent="0.2">
      <c r="A20" s="1"/>
      <c r="B20" s="4"/>
      <c r="C20" s="2"/>
      <c r="D20" s="2"/>
    </row>
    <row r="22" spans="1:14" x14ac:dyDescent="0.2"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">
      <c r="F23" s="18"/>
      <c r="G23" s="18"/>
      <c r="H23" s="18"/>
      <c r="I23" s="18"/>
      <c r="J23" s="18"/>
      <c r="K23" s="18"/>
      <c r="L23" s="18"/>
      <c r="M23" s="18"/>
      <c r="N23" s="18"/>
    </row>
    <row r="24" spans="1:14" x14ac:dyDescent="0.2">
      <c r="C24" s="7"/>
      <c r="D24" s="7"/>
      <c r="E24" s="9"/>
      <c r="F24" s="9"/>
      <c r="G24" s="9"/>
      <c r="H24" s="9"/>
      <c r="I24" s="9"/>
      <c r="K24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3A32-AA43-6B48-B570-5253C6D3DBE1}">
  <dimension ref="A1:N24"/>
  <sheetViews>
    <sheetView workbookViewId="0">
      <selection activeCell="D20" sqref="D20"/>
    </sheetView>
  </sheetViews>
  <sheetFormatPr baseColWidth="10" defaultRowHeight="16" x14ac:dyDescent="0.2"/>
  <cols>
    <col min="1" max="2" width="18.1640625" customWidth="1"/>
    <col min="3" max="14" width="11.33203125" customWidth="1"/>
    <col min="15" max="15" width="9.83203125" customWidth="1"/>
  </cols>
  <sheetData>
    <row r="1" spans="1:14" ht="35" x14ac:dyDescent="0.25">
      <c r="A1" s="6" t="s">
        <v>1</v>
      </c>
      <c r="B1" s="6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</row>
    <row r="2" spans="1:14" x14ac:dyDescent="0.2">
      <c r="A2" t="s">
        <v>116</v>
      </c>
      <c r="B2" s="4">
        <v>0</v>
      </c>
      <c r="C2" s="5">
        <v>7.0000000000000007E-2</v>
      </c>
      <c r="D2" s="5">
        <v>1.0092000000000001</v>
      </c>
      <c r="E2" t="s">
        <v>23</v>
      </c>
      <c r="F2" s="2">
        <v>3.0000000000000001E-3</v>
      </c>
      <c r="G2">
        <v>3.2757639751552797E-2</v>
      </c>
      <c r="H2">
        <v>1.5580536494073611E-2</v>
      </c>
      <c r="I2">
        <v>0.30466765287014913</v>
      </c>
      <c r="J2">
        <v>0.76900479880557848</v>
      </c>
      <c r="K2">
        <v>0.22750363610101668</v>
      </c>
      <c r="L2">
        <v>0.1575343511329477</v>
      </c>
      <c r="M2">
        <v>0.53374907966439078</v>
      </c>
      <c r="N2">
        <v>0.66</v>
      </c>
    </row>
    <row r="3" spans="1:14" x14ac:dyDescent="0.2">
      <c r="A3" t="s">
        <v>117</v>
      </c>
      <c r="B3" s="8">
        <v>457</v>
      </c>
      <c r="C3" s="2">
        <v>0.01</v>
      </c>
      <c r="D3" s="2">
        <v>1.3620000000000001</v>
      </c>
      <c r="E3" t="s">
        <v>23</v>
      </c>
      <c r="F3" s="2">
        <v>5.0000000000000001E-3</v>
      </c>
      <c r="G3">
        <v>4.8693788819875782E-3</v>
      </c>
      <c r="H3">
        <v>1.6779039301310042E-2</v>
      </c>
      <c r="I3">
        <v>2.9654926331762121</v>
      </c>
      <c r="J3">
        <v>1.1879003969866373</v>
      </c>
      <c r="K3">
        <v>0.14789953564073607</v>
      </c>
      <c r="L3">
        <v>0.29041236327640452</v>
      </c>
      <c r="M3">
        <v>0.32079820623379168</v>
      </c>
      <c r="N3">
        <v>0.87</v>
      </c>
    </row>
    <row r="4" spans="1:14" x14ac:dyDescent="0.2">
      <c r="A4" t="s">
        <v>118</v>
      </c>
      <c r="B4" s="8">
        <v>870</v>
      </c>
      <c r="C4" s="2">
        <v>0.01</v>
      </c>
      <c r="D4" s="2">
        <v>1.4567000000000001</v>
      </c>
      <c r="E4" t="s">
        <v>23</v>
      </c>
      <c r="F4" s="2">
        <v>6.0000000000000001E-3</v>
      </c>
      <c r="G4">
        <v>1.3280124223602483E-3</v>
      </c>
      <c r="H4">
        <v>1.4981285090455397E-2</v>
      </c>
      <c r="I4">
        <v>0.10125182475624718</v>
      </c>
      <c r="J4">
        <v>1.2505835842684505</v>
      </c>
      <c r="K4">
        <v>3.3181700370271107E-2</v>
      </c>
      <c r="L4">
        <v>0.26741106657424496</v>
      </c>
      <c r="M4">
        <v>0.43014822818369414</v>
      </c>
      <c r="N4">
        <v>1.0900000000000001</v>
      </c>
    </row>
    <row r="5" spans="1:14" x14ac:dyDescent="0.2">
      <c r="A5" t="s">
        <v>119</v>
      </c>
      <c r="B5" s="8">
        <v>1260</v>
      </c>
      <c r="C5" s="2">
        <v>0.01</v>
      </c>
      <c r="D5" s="2">
        <v>1.4231</v>
      </c>
      <c r="E5" t="s">
        <v>23</v>
      </c>
      <c r="F5" s="2">
        <v>5.0000000000000001E-3</v>
      </c>
      <c r="G5">
        <v>1.9920186335403725E-2</v>
      </c>
      <c r="H5">
        <v>1.2584279475982531E-2</v>
      </c>
      <c r="I5">
        <v>6.689309743655969E-2</v>
      </c>
      <c r="J5">
        <v>1.1736736217279216</v>
      </c>
      <c r="K5">
        <v>3.8724629239444794E-2</v>
      </c>
      <c r="L5">
        <v>0.30657521527365827</v>
      </c>
      <c r="M5">
        <v>0.44058055024528664</v>
      </c>
      <c r="N5">
        <v>1.08</v>
      </c>
    </row>
    <row r="6" spans="1:14" x14ac:dyDescent="0.2">
      <c r="A6" t="s">
        <v>120</v>
      </c>
      <c r="B6" s="8">
        <v>1700</v>
      </c>
      <c r="C6" s="2">
        <v>0.01</v>
      </c>
      <c r="D6" s="2">
        <v>1.4742</v>
      </c>
      <c r="E6" t="s">
        <v>23</v>
      </c>
      <c r="F6" s="2">
        <v>6.0000000000000001E-3</v>
      </c>
      <c r="G6" t="s">
        <v>23</v>
      </c>
      <c r="H6">
        <v>1.3183530879600749E-2</v>
      </c>
      <c r="I6">
        <v>0.10520459869568025</v>
      </c>
      <c r="J6">
        <v>1.145069499034749</v>
      </c>
      <c r="K6">
        <v>2.3950458422069894E-2</v>
      </c>
      <c r="L6">
        <v>0.35313198088435221</v>
      </c>
      <c r="M6">
        <v>0.4650633672855829</v>
      </c>
      <c r="N6">
        <v>1.1200000000000001</v>
      </c>
    </row>
    <row r="7" spans="1:14" x14ac:dyDescent="0.2">
      <c r="A7" t="s">
        <v>121</v>
      </c>
      <c r="B7" s="8">
        <v>2120</v>
      </c>
      <c r="C7" s="2">
        <v>0.01</v>
      </c>
      <c r="D7" s="2">
        <v>1.5097</v>
      </c>
      <c r="E7" t="s">
        <v>23</v>
      </c>
      <c r="F7" s="2">
        <v>4.0000000000000001E-3</v>
      </c>
      <c r="G7" t="s">
        <v>23</v>
      </c>
      <c r="H7">
        <v>1.1086150966936993E-2</v>
      </c>
      <c r="I7">
        <v>0.10398836056047008</v>
      </c>
      <c r="J7">
        <v>1.1694353650384282</v>
      </c>
      <c r="K7">
        <v>2.5899337489329172E-2</v>
      </c>
      <c r="L7">
        <v>0.35353326641260041</v>
      </c>
      <c r="M7">
        <v>0.41348744519421077</v>
      </c>
      <c r="N7">
        <v>1.24</v>
      </c>
    </row>
    <row r="8" spans="1:14" x14ac:dyDescent="0.2">
      <c r="A8" t="s">
        <v>122</v>
      </c>
      <c r="B8" s="8">
        <v>2500</v>
      </c>
      <c r="C8" s="2">
        <v>0.01</v>
      </c>
      <c r="D8" s="2">
        <v>1.5805</v>
      </c>
      <c r="E8" t="s">
        <v>23</v>
      </c>
      <c r="F8" s="2">
        <v>6.0000000000000001E-3</v>
      </c>
      <c r="G8">
        <v>4.8693788819875782E-3</v>
      </c>
      <c r="H8">
        <v>8.389519650655021E-3</v>
      </c>
      <c r="I8">
        <v>0.10642083683089043</v>
      </c>
      <c r="J8">
        <v>1.2214050149798152</v>
      </c>
      <c r="K8">
        <v>3.5773878822694225E-3</v>
      </c>
      <c r="L8">
        <v>0.3450239047216398</v>
      </c>
      <c r="M8">
        <v>0.49316138523857977</v>
      </c>
      <c r="N8">
        <v>1.1399999999999999</v>
      </c>
    </row>
    <row r="9" spans="1:14" x14ac:dyDescent="0.2">
      <c r="A9" t="s">
        <v>123</v>
      </c>
      <c r="B9" s="8">
        <v>2910</v>
      </c>
      <c r="C9" s="2">
        <v>0.01</v>
      </c>
      <c r="D9" s="2">
        <v>1.6485000000000001</v>
      </c>
      <c r="E9" t="s">
        <v>23</v>
      </c>
      <c r="F9" s="2">
        <v>7.0000000000000001E-3</v>
      </c>
      <c r="G9" t="s">
        <v>23</v>
      </c>
      <c r="H9">
        <v>1.1086150966936993E-2</v>
      </c>
      <c r="I9">
        <v>0.11067767030412605</v>
      </c>
      <c r="J9">
        <v>1.2746901503331878</v>
      </c>
      <c r="K9" t="s">
        <v>23</v>
      </c>
      <c r="L9">
        <v>0.4208838803035771</v>
      </c>
      <c r="M9">
        <v>0.4866776838792542</v>
      </c>
      <c r="N9">
        <v>1.22</v>
      </c>
    </row>
    <row r="10" spans="1:14" x14ac:dyDescent="0.2">
      <c r="A10" t="s">
        <v>124</v>
      </c>
      <c r="B10" s="8">
        <v>3330</v>
      </c>
      <c r="C10" s="2">
        <v>0.01</v>
      </c>
      <c r="D10" s="2">
        <v>1.7241</v>
      </c>
      <c r="E10" t="s">
        <v>23</v>
      </c>
      <c r="F10" s="2">
        <v>7.0000000000000001E-3</v>
      </c>
      <c r="G10" t="s">
        <v>23</v>
      </c>
      <c r="H10">
        <v>9.5880224578914538E-3</v>
      </c>
      <c r="I10">
        <v>0.10307618195906244</v>
      </c>
      <c r="J10">
        <v>1.3723599249061762</v>
      </c>
      <c r="K10">
        <v>0.1004539781665611</v>
      </c>
      <c r="L10">
        <v>0.42412692596058965</v>
      </c>
      <c r="M10">
        <v>0.50740000027542065</v>
      </c>
      <c r="N10">
        <v>1.22</v>
      </c>
    </row>
    <row r="11" spans="1:14" x14ac:dyDescent="0.2">
      <c r="A11" t="s">
        <v>125</v>
      </c>
      <c r="B11" s="8">
        <v>3770</v>
      </c>
      <c r="C11" s="2">
        <v>0.01</v>
      </c>
      <c r="D11" s="2">
        <v>1.7134</v>
      </c>
      <c r="E11" t="s">
        <v>23</v>
      </c>
      <c r="F11" s="2">
        <v>6.0000000000000001E-3</v>
      </c>
      <c r="G11">
        <v>0</v>
      </c>
      <c r="H11">
        <v>7.7902682470368054E-3</v>
      </c>
      <c r="I11">
        <v>7.0541811842190216E-2</v>
      </c>
      <c r="J11">
        <v>1.4698778949922446</v>
      </c>
      <c r="K11">
        <v>2.2900865320301181E-2</v>
      </c>
      <c r="L11">
        <v>0.26158978029906355</v>
      </c>
      <c r="M11">
        <v>0.45122645775017783</v>
      </c>
      <c r="N11">
        <v>0.94</v>
      </c>
    </row>
    <row r="12" spans="1:14" x14ac:dyDescent="0.2">
      <c r="A12" t="s">
        <v>126</v>
      </c>
      <c r="B12" s="8">
        <v>4180</v>
      </c>
      <c r="C12" s="2">
        <v>0.01</v>
      </c>
      <c r="D12" s="2">
        <v>2.1490999999999998</v>
      </c>
      <c r="E12" t="s">
        <v>23</v>
      </c>
      <c r="F12" s="2">
        <v>8.0000000000000002E-3</v>
      </c>
      <c r="G12" t="s">
        <v>23</v>
      </c>
      <c r="H12">
        <v>1.3782782283218964E-2</v>
      </c>
      <c r="I12">
        <v>6.9021514173177506E-2</v>
      </c>
      <c r="J12">
        <v>1.7703926844235101</v>
      </c>
      <c r="K12" t="s">
        <v>23</v>
      </c>
      <c r="L12">
        <v>0.25726945058602496</v>
      </c>
      <c r="M12">
        <v>0.51887404116724212</v>
      </c>
      <c r="N12">
        <v>0.91</v>
      </c>
    </row>
    <row r="13" spans="1:14" x14ac:dyDescent="0.2">
      <c r="A13" t="s">
        <v>127</v>
      </c>
      <c r="B13" s="8">
        <v>4600</v>
      </c>
      <c r="C13" s="2">
        <v>0.01</v>
      </c>
      <c r="D13" s="2">
        <v>1.9692000000000001</v>
      </c>
      <c r="E13" t="s">
        <v>23</v>
      </c>
      <c r="F13" s="2">
        <v>8.0000000000000002E-3</v>
      </c>
      <c r="G13" t="s">
        <v>23</v>
      </c>
      <c r="H13">
        <v>1.8277167810355585E-2</v>
      </c>
      <c r="I13">
        <v>6.0507847226706275E-2</v>
      </c>
      <c r="J13">
        <v>1.6443179069767664</v>
      </c>
      <c r="K13" t="s">
        <v>23</v>
      </c>
      <c r="L13">
        <v>0.29780960038949666</v>
      </c>
      <c r="M13">
        <v>0.50358169414550147</v>
      </c>
      <c r="N13">
        <v>1.04</v>
      </c>
    </row>
    <row r="14" spans="1:14" x14ac:dyDescent="0.2">
      <c r="A14" t="s">
        <v>128</v>
      </c>
      <c r="B14" s="8">
        <v>5070</v>
      </c>
      <c r="C14" s="2">
        <v>0.02</v>
      </c>
      <c r="D14" s="2">
        <v>2.4517000000000002</v>
      </c>
      <c r="E14" t="s">
        <v>23</v>
      </c>
      <c r="F14" s="2">
        <v>8.0000000000000002E-3</v>
      </c>
      <c r="G14" t="s">
        <v>23</v>
      </c>
      <c r="H14">
        <v>2.3071179039301309E-2</v>
      </c>
      <c r="I14">
        <v>7.8447359721056376E-2</v>
      </c>
      <c r="J14">
        <v>2.0476863436845294</v>
      </c>
      <c r="K14" t="s">
        <v>23</v>
      </c>
      <c r="L14">
        <v>0.28357975682651515</v>
      </c>
      <c r="M14">
        <v>0.62491259323415971</v>
      </c>
      <c r="N14">
        <v>1.34</v>
      </c>
    </row>
    <row r="15" spans="1:14" x14ac:dyDescent="0.2">
      <c r="A15" s="1"/>
      <c r="B15" s="8"/>
      <c r="C15" s="2"/>
      <c r="D15" s="2"/>
      <c r="F15" s="2"/>
    </row>
    <row r="17" spans="3:14" x14ac:dyDescent="0.2">
      <c r="C17" s="7"/>
      <c r="D17" s="7"/>
    </row>
    <row r="18" spans="3:14" x14ac:dyDescent="0.2">
      <c r="C18" s="10"/>
      <c r="D18" s="10"/>
    </row>
    <row r="19" spans="3:14" x14ac:dyDescent="0.2">
      <c r="C19" s="7"/>
      <c r="D19" s="7"/>
    </row>
    <row r="22" spans="3:14" x14ac:dyDescent="0.2">
      <c r="F22" s="18"/>
      <c r="G22" s="18"/>
      <c r="H22" s="18"/>
      <c r="I22" s="18"/>
      <c r="J22" s="18"/>
      <c r="K22" s="18"/>
      <c r="L22" s="18"/>
      <c r="M22" s="18"/>
      <c r="N22" s="18"/>
    </row>
    <row r="23" spans="3:14" x14ac:dyDescent="0.2">
      <c r="F23" s="18"/>
      <c r="G23" s="18"/>
      <c r="H23" s="18"/>
      <c r="I23" s="18"/>
      <c r="J23" s="18"/>
      <c r="K23" s="18"/>
      <c r="L23" s="18"/>
      <c r="M23" s="18"/>
      <c r="N23" s="18"/>
    </row>
    <row r="24" spans="3:14" x14ac:dyDescent="0.2">
      <c r="C24" s="7"/>
      <c r="D24" s="7"/>
      <c r="E24" s="9"/>
      <c r="F24" s="9"/>
      <c r="G24" s="9"/>
      <c r="H24" s="9"/>
      <c r="I24" s="9"/>
      <c r="K24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F292-90E8-B64F-8F5C-C29AA075F323}">
  <dimension ref="A1:F8"/>
  <sheetViews>
    <sheetView zoomScale="120" zoomScaleNormal="120" workbookViewId="0">
      <selection activeCell="F9" sqref="F9"/>
    </sheetView>
  </sheetViews>
  <sheetFormatPr baseColWidth="10" defaultRowHeight="16" x14ac:dyDescent="0.2"/>
  <sheetData>
    <row r="1" spans="1: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3" t="s">
        <v>6</v>
      </c>
      <c r="B2" s="4">
        <v>0.3</v>
      </c>
      <c r="C2" s="5">
        <v>0.35200999613506206</v>
      </c>
      <c r="D2" s="5">
        <v>-24.618223400021716</v>
      </c>
      <c r="E2" s="9">
        <v>2.4262945425364075E-2</v>
      </c>
      <c r="F2" s="2">
        <v>-54.602446400177833</v>
      </c>
    </row>
    <row r="3" spans="1:6" x14ac:dyDescent="0.2">
      <c r="A3" s="1" t="s">
        <v>7</v>
      </c>
      <c r="B3">
        <v>0.6</v>
      </c>
      <c r="C3" s="2">
        <v>0.4034933651897919</v>
      </c>
      <c r="D3" s="2">
        <v>-20.8825727186099</v>
      </c>
      <c r="E3" s="9">
        <v>4.0057936685731863E-2</v>
      </c>
      <c r="F3" s="2">
        <v>-64.214910142196473</v>
      </c>
    </row>
    <row r="4" spans="1:6" x14ac:dyDescent="0.2">
      <c r="A4" s="1" t="s">
        <v>8</v>
      </c>
      <c r="B4">
        <v>0.9</v>
      </c>
      <c r="C4" s="2">
        <v>0.44511293231673749</v>
      </c>
      <c r="D4" s="2">
        <v>-15.884379353169418</v>
      </c>
      <c r="E4" s="9">
        <v>7.3408511356041872E-2</v>
      </c>
      <c r="F4" s="2">
        <v>-73.376064147357368</v>
      </c>
    </row>
    <row r="5" spans="1:6" x14ac:dyDescent="0.2">
      <c r="A5" s="1" t="s">
        <v>9</v>
      </c>
      <c r="B5">
        <v>1.3</v>
      </c>
      <c r="C5" s="2">
        <v>0.83130916283100842</v>
      </c>
      <c r="D5" s="2">
        <v>-9.5798255915758972</v>
      </c>
      <c r="E5" s="9">
        <v>0.18206411071553263</v>
      </c>
      <c r="F5" s="2">
        <v>-78.142679277063309</v>
      </c>
    </row>
    <row r="8" spans="1:6" x14ac:dyDescent="0.2">
      <c r="B8">
        <v>0.83250000000000002</v>
      </c>
      <c r="C8">
        <f>B8*0.4644+0.1418</f>
        <v>0.52841300000000002</v>
      </c>
      <c r="D8">
        <f>B8*15.22-29.537</f>
        <v>-16.866349999999997</v>
      </c>
      <c r="E8">
        <f>B8*0.1575-0.0421</f>
        <v>8.9018750000000008E-2</v>
      </c>
      <c r="F8">
        <f>-B8*23.787-49.149</f>
        <v>-68.951677500000002</v>
      </c>
    </row>
  </sheetData>
  <dataValidations count="1">
    <dataValidation type="textLength" operator="lessThanOrEqual" allowBlank="1" showInputMessage="1" showErrorMessage="1" errorTitle="Invalid Sample Identifier" error="The Sample Identifier cannot exceed 20 characters." prompt="Sample IDs must be unique." sqref="C2:C5" xr:uid="{4E338D90-1292-E74C-9714-B1D7AF4D25D0}">
      <formula1>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PT1-30W</vt:lpstr>
      <vt:lpstr>PT1-60W</vt:lpstr>
      <vt:lpstr>PT1-150W</vt:lpstr>
      <vt:lpstr>PT1-400W</vt:lpstr>
      <vt:lpstr>PT1-D1</vt:lpstr>
      <vt:lpstr>PT1-60E</vt:lpstr>
      <vt:lpstr>Canal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Somers</dc:creator>
  <cp:lastModifiedBy>Lauren Somers</cp:lastModifiedBy>
  <dcterms:created xsi:type="dcterms:W3CDTF">2020-04-09T19:55:27Z</dcterms:created>
  <dcterms:modified xsi:type="dcterms:W3CDTF">2021-02-03T17:34:23Z</dcterms:modified>
</cp:coreProperties>
</file>